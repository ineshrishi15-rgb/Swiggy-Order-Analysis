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BATCH\2026_Batches\Weekend_2026\DVA_Weekend_Mar\Excel\Class 8\"/>
    </mc:Choice>
  </mc:AlternateContent>
  <xr:revisionPtr revIDLastSave="0" documentId="13_ncr:1_{AECABDA1-6980-41E6-9CF3-B75F00F83A55}" xr6:coauthVersionLast="47" xr6:coauthVersionMax="47" xr10:uidLastSave="{00000000-0000-0000-0000-000000000000}"/>
  <bookViews>
    <workbookView xWindow="-110" yWindow="-110" windowWidth="19420" windowHeight="10420" tabRatio="767" firstSheet="3" activeTab="5" xr2:uid="{B3D67429-AD73-42DF-BB6A-F60D4F90009D}"/>
  </bookViews>
  <sheets>
    <sheet name="Swiggy Orders" sheetId="1" r:id="rId1"/>
    <sheet name="Swiggy Order Items" sheetId="2" r:id="rId2"/>
    <sheet name="restaurant name correction" sheetId="3" r:id="rId3"/>
    <sheet name="restaurant_area_correction" sheetId="4" r:id="rId4"/>
    <sheet name="Data Prep" sheetId="5" r:id="rId5"/>
    <sheet name="Dashboard" sheetId="6" r:id="rId6"/>
    <sheet name="Protection" sheetId="8" r:id="rId7"/>
    <sheet name="Dynamic Named Range" sheetId="7" r:id="rId8"/>
  </sheets>
  <definedNames>
    <definedName name="NativeTimeline_Order_Date">#N/A</definedName>
    <definedName name="Slicer_on_time">#N/A</definedName>
    <definedName name="Slicer_order_status">#N/A</definedName>
    <definedName name="Slicer_Rain_mode_updated">#N/A</definedName>
  </definedNames>
  <calcPr calcId="191029"/>
  <pivotCaches>
    <pivotCache cacheId="58" r:id="rId9"/>
    <pivotCache cacheId="5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6" l="1"/>
  <c r="E5" i="6"/>
  <c r="E4" i="6"/>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J2" i="1"/>
  <c r="AJ5" i="1"/>
  <c r="AJ6" i="1"/>
  <c r="AJ9" i="1"/>
  <c r="AJ10" i="1"/>
  <c r="AJ13" i="1"/>
  <c r="AJ14" i="1"/>
  <c r="AJ17" i="1"/>
  <c r="AJ18" i="1"/>
  <c r="AJ21" i="1"/>
  <c r="AJ22" i="1"/>
  <c r="AJ25" i="1"/>
  <c r="AJ26" i="1"/>
  <c r="AJ29" i="1"/>
  <c r="AJ30" i="1"/>
  <c r="AJ33" i="1"/>
  <c r="AJ34" i="1"/>
  <c r="AJ37" i="1"/>
  <c r="AJ38" i="1"/>
  <c r="AJ41" i="1"/>
  <c r="AJ42" i="1"/>
  <c r="AJ45" i="1"/>
  <c r="AJ46" i="1"/>
  <c r="AJ49" i="1"/>
  <c r="AJ50" i="1"/>
  <c r="AJ53" i="1"/>
  <c r="AJ54" i="1"/>
  <c r="AJ57" i="1"/>
  <c r="AJ58" i="1"/>
  <c r="AJ61" i="1"/>
  <c r="AJ62" i="1"/>
  <c r="AJ65" i="1"/>
  <c r="AJ66" i="1"/>
  <c r="AJ69" i="1"/>
  <c r="AJ70" i="1"/>
  <c r="AJ73" i="1"/>
  <c r="AJ74" i="1"/>
  <c r="AJ77" i="1"/>
  <c r="AJ78" i="1"/>
  <c r="AJ81" i="1"/>
  <c r="AJ82" i="1"/>
  <c r="AJ85" i="1"/>
  <c r="AJ86" i="1"/>
  <c r="AJ89" i="1"/>
  <c r="AJ90" i="1"/>
  <c r="AJ93" i="1"/>
  <c r="AJ94" i="1"/>
  <c r="AJ97" i="1"/>
  <c r="AJ98" i="1"/>
  <c r="AJ101" i="1"/>
  <c r="AJ102" i="1"/>
  <c r="AJ105" i="1"/>
  <c r="AJ106" i="1"/>
  <c r="AH3" i="1"/>
  <c r="AJ3" i="1" s="1"/>
  <c r="AH4" i="1"/>
  <c r="AJ4" i="1" s="1"/>
  <c r="AH5" i="1"/>
  <c r="AH6" i="1"/>
  <c r="AH7" i="1"/>
  <c r="AJ7" i="1" s="1"/>
  <c r="AH8" i="1"/>
  <c r="AJ8" i="1" s="1"/>
  <c r="AH9" i="1"/>
  <c r="AH10" i="1"/>
  <c r="AH11" i="1"/>
  <c r="AJ11" i="1" s="1"/>
  <c r="AH12" i="1"/>
  <c r="AJ12" i="1" s="1"/>
  <c r="AH13" i="1"/>
  <c r="AH14" i="1"/>
  <c r="AH15" i="1"/>
  <c r="AJ15" i="1" s="1"/>
  <c r="AH16" i="1"/>
  <c r="AJ16" i="1" s="1"/>
  <c r="AH17" i="1"/>
  <c r="AH18" i="1"/>
  <c r="AH19" i="1"/>
  <c r="AJ19" i="1" s="1"/>
  <c r="AH20" i="1"/>
  <c r="AJ20" i="1" s="1"/>
  <c r="AH21" i="1"/>
  <c r="AH22" i="1"/>
  <c r="AH23" i="1"/>
  <c r="AJ23" i="1" s="1"/>
  <c r="AH24" i="1"/>
  <c r="AJ24" i="1" s="1"/>
  <c r="AH25" i="1"/>
  <c r="AH26" i="1"/>
  <c r="AH27" i="1"/>
  <c r="AJ27" i="1" s="1"/>
  <c r="AH28" i="1"/>
  <c r="AJ28" i="1" s="1"/>
  <c r="AH29" i="1"/>
  <c r="AH30" i="1"/>
  <c r="AH31" i="1"/>
  <c r="AJ31" i="1" s="1"/>
  <c r="AH32" i="1"/>
  <c r="AJ32" i="1" s="1"/>
  <c r="AH33" i="1"/>
  <c r="AH34" i="1"/>
  <c r="AH35" i="1"/>
  <c r="AJ35" i="1" s="1"/>
  <c r="AH36" i="1"/>
  <c r="AJ36" i="1" s="1"/>
  <c r="AH37" i="1"/>
  <c r="AH38" i="1"/>
  <c r="AH39" i="1"/>
  <c r="AJ39" i="1" s="1"/>
  <c r="AH40" i="1"/>
  <c r="AJ40" i="1" s="1"/>
  <c r="AH41" i="1"/>
  <c r="AH42" i="1"/>
  <c r="AH43" i="1"/>
  <c r="AJ43" i="1" s="1"/>
  <c r="AH44" i="1"/>
  <c r="AJ44" i="1" s="1"/>
  <c r="AH45" i="1"/>
  <c r="AH46" i="1"/>
  <c r="AH47" i="1"/>
  <c r="AJ47" i="1" s="1"/>
  <c r="AH48" i="1"/>
  <c r="AJ48" i="1" s="1"/>
  <c r="AH49" i="1"/>
  <c r="AH50" i="1"/>
  <c r="AH51" i="1"/>
  <c r="AJ51" i="1" s="1"/>
  <c r="AH52" i="1"/>
  <c r="AJ52" i="1" s="1"/>
  <c r="AH53" i="1"/>
  <c r="AH54" i="1"/>
  <c r="AH55" i="1"/>
  <c r="AJ55" i="1" s="1"/>
  <c r="AH56" i="1"/>
  <c r="AJ56" i="1" s="1"/>
  <c r="AH57" i="1"/>
  <c r="AH58" i="1"/>
  <c r="AH59" i="1"/>
  <c r="AJ59" i="1" s="1"/>
  <c r="AH60" i="1"/>
  <c r="AJ60" i="1" s="1"/>
  <c r="AH61" i="1"/>
  <c r="AH62" i="1"/>
  <c r="AH63" i="1"/>
  <c r="AJ63" i="1" s="1"/>
  <c r="AH64" i="1"/>
  <c r="AJ64" i="1" s="1"/>
  <c r="AH65" i="1"/>
  <c r="AH66" i="1"/>
  <c r="AH67" i="1"/>
  <c r="AJ67" i="1" s="1"/>
  <c r="AH68" i="1"/>
  <c r="AJ68" i="1" s="1"/>
  <c r="AH69" i="1"/>
  <c r="AH70" i="1"/>
  <c r="AH71" i="1"/>
  <c r="AJ71" i="1" s="1"/>
  <c r="AH72" i="1"/>
  <c r="AJ72" i="1" s="1"/>
  <c r="AH73" i="1"/>
  <c r="AH74" i="1"/>
  <c r="AH75" i="1"/>
  <c r="AJ75" i="1" s="1"/>
  <c r="AH76" i="1"/>
  <c r="AJ76" i="1" s="1"/>
  <c r="AH77" i="1"/>
  <c r="AH78" i="1"/>
  <c r="AH79" i="1"/>
  <c r="AJ79" i="1" s="1"/>
  <c r="AH80" i="1"/>
  <c r="AJ80" i="1" s="1"/>
  <c r="AH81" i="1"/>
  <c r="AH82" i="1"/>
  <c r="AH83" i="1"/>
  <c r="AJ83" i="1" s="1"/>
  <c r="AH84" i="1"/>
  <c r="AJ84" i="1" s="1"/>
  <c r="AH85" i="1"/>
  <c r="AH86" i="1"/>
  <c r="AH87" i="1"/>
  <c r="AJ87" i="1" s="1"/>
  <c r="AH88" i="1"/>
  <c r="AJ88" i="1" s="1"/>
  <c r="AH89" i="1"/>
  <c r="AH90" i="1"/>
  <c r="AH91" i="1"/>
  <c r="AJ91" i="1" s="1"/>
  <c r="AH92" i="1"/>
  <c r="AJ92" i="1" s="1"/>
  <c r="AH93" i="1"/>
  <c r="AH94" i="1"/>
  <c r="AH95" i="1"/>
  <c r="AJ95" i="1" s="1"/>
  <c r="AH96" i="1"/>
  <c r="AJ96" i="1" s="1"/>
  <c r="AH97" i="1"/>
  <c r="AH98" i="1"/>
  <c r="AH99" i="1"/>
  <c r="AJ99" i="1" s="1"/>
  <c r="AH100" i="1"/>
  <c r="AJ100" i="1" s="1"/>
  <c r="AH101" i="1"/>
  <c r="AH102" i="1"/>
  <c r="AH103" i="1"/>
  <c r="AJ103" i="1" s="1"/>
  <c r="AH104" i="1"/>
  <c r="AJ104" i="1" s="1"/>
  <c r="AH105" i="1"/>
  <c r="AH106" i="1"/>
  <c r="AH107" i="1"/>
  <c r="AJ107" i="1" s="1"/>
  <c r="AH108" i="1"/>
  <c r="AJ108" i="1" s="1"/>
  <c r="AH2" i="1"/>
  <c r="AG3" i="1"/>
  <c r="AI3" i="1" s="1"/>
  <c r="AG4" i="1"/>
  <c r="AI4" i="1" s="1"/>
  <c r="AG5" i="1"/>
  <c r="AI5" i="1" s="1"/>
  <c r="AG6" i="1"/>
  <c r="AI6" i="1" s="1"/>
  <c r="AG7" i="1"/>
  <c r="AI7" i="1" s="1"/>
  <c r="AG8" i="1"/>
  <c r="AI8" i="1" s="1"/>
  <c r="AG9" i="1"/>
  <c r="AI9" i="1" s="1"/>
  <c r="AG10" i="1"/>
  <c r="AI10" i="1" s="1"/>
  <c r="AG11" i="1"/>
  <c r="AI11" i="1" s="1"/>
  <c r="AG12" i="1"/>
  <c r="AI12" i="1" s="1"/>
  <c r="AG13" i="1"/>
  <c r="AI13" i="1" s="1"/>
  <c r="AG14" i="1"/>
  <c r="AI14" i="1" s="1"/>
  <c r="AG15" i="1"/>
  <c r="AI15" i="1" s="1"/>
  <c r="AG16" i="1"/>
  <c r="AI16" i="1" s="1"/>
  <c r="AG17" i="1"/>
  <c r="AI17" i="1" s="1"/>
  <c r="AG18" i="1"/>
  <c r="AI18" i="1" s="1"/>
  <c r="AG19" i="1"/>
  <c r="AI19" i="1" s="1"/>
  <c r="AG20" i="1"/>
  <c r="AI20" i="1" s="1"/>
  <c r="AG21" i="1"/>
  <c r="AI21" i="1" s="1"/>
  <c r="AG22" i="1"/>
  <c r="AI22" i="1" s="1"/>
  <c r="AG23" i="1"/>
  <c r="AI23" i="1" s="1"/>
  <c r="AG24" i="1"/>
  <c r="AI24" i="1" s="1"/>
  <c r="AG25" i="1"/>
  <c r="AI25" i="1" s="1"/>
  <c r="AG26" i="1"/>
  <c r="AI26" i="1" s="1"/>
  <c r="AG27" i="1"/>
  <c r="AI27" i="1" s="1"/>
  <c r="AG28" i="1"/>
  <c r="AI28" i="1" s="1"/>
  <c r="AG29" i="1"/>
  <c r="AI29" i="1" s="1"/>
  <c r="AG30" i="1"/>
  <c r="AI30" i="1" s="1"/>
  <c r="AG31" i="1"/>
  <c r="AI31" i="1" s="1"/>
  <c r="AG32" i="1"/>
  <c r="AI32" i="1" s="1"/>
  <c r="AG33" i="1"/>
  <c r="AI33" i="1" s="1"/>
  <c r="AG34" i="1"/>
  <c r="AI34" i="1" s="1"/>
  <c r="AG35" i="1"/>
  <c r="AI35" i="1" s="1"/>
  <c r="AG36" i="1"/>
  <c r="AI36" i="1" s="1"/>
  <c r="AG37" i="1"/>
  <c r="AI37" i="1" s="1"/>
  <c r="AG38" i="1"/>
  <c r="AI38" i="1" s="1"/>
  <c r="AG39" i="1"/>
  <c r="AI39" i="1" s="1"/>
  <c r="AG40" i="1"/>
  <c r="AI40" i="1" s="1"/>
  <c r="AG41" i="1"/>
  <c r="AI41" i="1" s="1"/>
  <c r="AG42" i="1"/>
  <c r="AI42" i="1" s="1"/>
  <c r="AG43" i="1"/>
  <c r="AI43" i="1" s="1"/>
  <c r="AG44" i="1"/>
  <c r="AI44" i="1" s="1"/>
  <c r="AG45" i="1"/>
  <c r="AI45" i="1" s="1"/>
  <c r="AG46" i="1"/>
  <c r="AI46" i="1" s="1"/>
  <c r="AG47" i="1"/>
  <c r="AI47" i="1" s="1"/>
  <c r="AG48" i="1"/>
  <c r="AI48" i="1" s="1"/>
  <c r="AG49" i="1"/>
  <c r="AI49" i="1" s="1"/>
  <c r="AG50" i="1"/>
  <c r="AI50" i="1" s="1"/>
  <c r="AG51" i="1"/>
  <c r="AI51" i="1" s="1"/>
  <c r="AG52" i="1"/>
  <c r="AI52" i="1" s="1"/>
  <c r="AG53" i="1"/>
  <c r="AI53" i="1" s="1"/>
  <c r="AG54" i="1"/>
  <c r="AI54" i="1" s="1"/>
  <c r="AG55" i="1"/>
  <c r="AI55" i="1" s="1"/>
  <c r="AG56" i="1"/>
  <c r="AI56" i="1" s="1"/>
  <c r="AG57" i="1"/>
  <c r="AI57" i="1" s="1"/>
  <c r="AG58" i="1"/>
  <c r="AI58" i="1" s="1"/>
  <c r="AG59" i="1"/>
  <c r="AI59" i="1" s="1"/>
  <c r="AG60" i="1"/>
  <c r="AI60" i="1" s="1"/>
  <c r="AG61" i="1"/>
  <c r="AI61" i="1" s="1"/>
  <c r="AG62" i="1"/>
  <c r="AI62" i="1" s="1"/>
  <c r="AG63" i="1"/>
  <c r="AI63" i="1" s="1"/>
  <c r="AG64" i="1"/>
  <c r="AI64" i="1" s="1"/>
  <c r="AG65" i="1"/>
  <c r="AI65" i="1" s="1"/>
  <c r="AG66" i="1"/>
  <c r="AI66" i="1" s="1"/>
  <c r="AG67" i="1"/>
  <c r="AI67" i="1" s="1"/>
  <c r="AG68" i="1"/>
  <c r="AI68" i="1" s="1"/>
  <c r="AG69" i="1"/>
  <c r="AI69" i="1" s="1"/>
  <c r="AG70" i="1"/>
  <c r="AI70" i="1" s="1"/>
  <c r="AG71" i="1"/>
  <c r="AI71" i="1" s="1"/>
  <c r="AG72" i="1"/>
  <c r="AI72" i="1" s="1"/>
  <c r="AG73" i="1"/>
  <c r="AI73" i="1" s="1"/>
  <c r="AG74" i="1"/>
  <c r="AI74" i="1" s="1"/>
  <c r="AG75" i="1"/>
  <c r="AI75" i="1" s="1"/>
  <c r="AG76" i="1"/>
  <c r="AI76" i="1" s="1"/>
  <c r="AG77" i="1"/>
  <c r="AI77" i="1" s="1"/>
  <c r="AG78" i="1"/>
  <c r="AI78" i="1" s="1"/>
  <c r="AG79" i="1"/>
  <c r="AI79" i="1" s="1"/>
  <c r="AG80" i="1"/>
  <c r="AI80" i="1" s="1"/>
  <c r="AG81" i="1"/>
  <c r="AI81" i="1" s="1"/>
  <c r="AG82" i="1"/>
  <c r="AI82" i="1" s="1"/>
  <c r="AG83" i="1"/>
  <c r="AI83" i="1" s="1"/>
  <c r="AG84" i="1"/>
  <c r="AI84" i="1" s="1"/>
  <c r="AG85" i="1"/>
  <c r="AI85" i="1" s="1"/>
  <c r="AG86" i="1"/>
  <c r="AI86" i="1" s="1"/>
  <c r="AG87" i="1"/>
  <c r="AI87" i="1" s="1"/>
  <c r="AG88" i="1"/>
  <c r="AI88" i="1" s="1"/>
  <c r="AG89" i="1"/>
  <c r="AI89" i="1" s="1"/>
  <c r="AG90" i="1"/>
  <c r="AI90" i="1" s="1"/>
  <c r="AG91" i="1"/>
  <c r="AI91" i="1" s="1"/>
  <c r="AG92" i="1"/>
  <c r="AI92" i="1" s="1"/>
  <c r="AG93" i="1"/>
  <c r="AI93" i="1" s="1"/>
  <c r="AG94" i="1"/>
  <c r="AI94" i="1" s="1"/>
  <c r="AG95" i="1"/>
  <c r="AI95" i="1" s="1"/>
  <c r="AG96" i="1"/>
  <c r="AI96" i="1" s="1"/>
  <c r="AG97" i="1"/>
  <c r="AI97" i="1" s="1"/>
  <c r="AG98" i="1"/>
  <c r="AI98" i="1" s="1"/>
  <c r="AG99" i="1"/>
  <c r="AI99" i="1" s="1"/>
  <c r="AG100" i="1"/>
  <c r="AI100" i="1" s="1"/>
  <c r="AG101" i="1"/>
  <c r="AI101" i="1" s="1"/>
  <c r="AG102" i="1"/>
  <c r="AI102" i="1" s="1"/>
  <c r="AG103" i="1"/>
  <c r="AI103" i="1" s="1"/>
  <c r="AG104" i="1"/>
  <c r="AI104" i="1" s="1"/>
  <c r="AG105" i="1"/>
  <c r="AI105" i="1" s="1"/>
  <c r="AG106" i="1"/>
  <c r="AI106" i="1" s="1"/>
  <c r="AG107" i="1"/>
  <c r="AI107" i="1" s="1"/>
  <c r="AG108" i="1"/>
  <c r="AI108" i="1" s="1"/>
  <c r="AG2" i="1"/>
  <c r="AI2" i="1" s="1"/>
  <c r="AF6" i="1"/>
  <c r="AF3" i="1"/>
  <c r="AF4" i="1"/>
  <c r="AF5"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2" i="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2" i="3"/>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2" i="1"/>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H4" i="6"/>
  <c r="B5" i="6"/>
  <c r="B4" i="6"/>
  <c r="B3" i="6"/>
  <c r="C13" i="5"/>
  <c r="J2" i="5"/>
  <c r="E3" i="6" l="1"/>
  <c r="H3" i="6"/>
</calcChain>
</file>

<file path=xl/sharedStrings.xml><?xml version="1.0" encoding="utf-8"?>
<sst xmlns="http://schemas.openxmlformats.org/spreadsheetml/2006/main" count="2097" uniqueCount="865">
  <si>
    <t>order_id</t>
  </si>
  <si>
    <t>is_coupon_applied</t>
  </si>
  <si>
    <t>coupon_applied</t>
  </si>
  <si>
    <t>offers_data</t>
  </si>
  <si>
    <t>order_time</t>
  </si>
  <si>
    <t>confirmed_time</t>
  </si>
  <si>
    <t>customer_id</t>
  </si>
  <si>
    <t>order_status</t>
  </si>
  <si>
    <t>delivery_boy.name</t>
  </si>
  <si>
    <t>restaurant_id</t>
  </si>
  <si>
    <t>restaurant_name</t>
  </si>
  <si>
    <t>restaurant_address</t>
  </si>
  <si>
    <t>restaurant_locality</t>
  </si>
  <si>
    <t>restaurant_city_name</t>
  </si>
  <si>
    <t>delivery_time_in_seconds</t>
  </si>
  <si>
    <t>order_total</t>
  </si>
  <si>
    <t>order_total_with_tip</t>
  </si>
  <si>
    <t>net_total</t>
  </si>
  <si>
    <t>item_total</t>
  </si>
  <si>
    <t>free_delivery_discount_hit</t>
  </si>
  <si>
    <t>restaurant_order_rating</t>
  </si>
  <si>
    <t>restaurant_lat_lng</t>
  </si>
  <si>
    <t>restaurant_customer_distance</t>
  </si>
  <si>
    <t>coupon_code</t>
  </si>
  <si>
    <t>order_payment_method</t>
  </si>
  <si>
    <t>restaurant_area_name</t>
  </si>
  <si>
    <t>on_time</t>
  </si>
  <si>
    <t>rain_mode</t>
  </si>
  <si>
    <t>SWIGGYIT</t>
  </si>
  <si>
    <t>[{"id":"7740ff94-cc8f-41cf-b6ec-d4c97cbd0060","super_type":"SUPERTYPE_UNSPECIFIED","total_offer_discount":120,"discount_share":{"swiggy_discount":67.2,"store_discount":52.8,"alliance_discount":0},"discount_type":"PERCENTAGE","description":"60% off","fixed_charges":{"gp":{"id":"","final_price":0}}}]</t>
  </si>
  <si>
    <t>2024-05-21 12:28:52</t>
  </si>
  <si>
    <t>2024-05-21 12:29:13</t>
  </si>
  <si>
    <t>21191609</t>
  </si>
  <si>
    <t>Delivered</t>
  </si>
  <si>
    <t>NARREDDY NAGESWARA REDDY</t>
  </si>
  <si>
    <t>434304</t>
  </si>
  <si>
    <t>Paris Panini - Gourmet Sandwiches &amp; Wraps</t>
  </si>
  <si>
    <t>No.690/A, 14th Main, 100ft Road, JP Nagar 2nd Phase, Bangalore 560078.</t>
  </si>
  <si>
    <t>JP Nagar</t>
  </si>
  <si>
    <t>Bangalore</t>
  </si>
  <si>
    <t>12.90649867,77.59165435</t>
  </si>
  <si>
    <t>UPICollect</t>
  </si>
  <si>
    <t/>
  </si>
  <si>
    <t>2024-05-20 15:00:17</t>
  </si>
  <si>
    <t>2024-05-20 15:00:38</t>
  </si>
  <si>
    <t>Kesavamoorthi</t>
  </si>
  <si>
    <t>12804</t>
  </si>
  <si>
    <t>Nandhana Palace</t>
  </si>
  <si>
    <t>JP nagar, 147, 24th Main Rd, R.K Colony, Marenahalli, 2nd Phase, J. P. Nagar, Bengaluru, Karnataka 560078</t>
  </si>
  <si>
    <t>12.914599,77.585509</t>
  </si>
  <si>
    <t>MISSEDYOU</t>
  </si>
  <si>
    <t>[{"id":"c1399a7d-65f4-486a-ba3e-72a9d9c70cad","super_type":"SUPERTYPE_UNSPECIFIED","total_offer_discount":80,"discount_share":{"swiggy_discount":16,"store_discount":64,"alliance_discount":0},"discount_type":"PERCENTAGE","description":"40% off","fixed_charges":{"gp":{"id":"","final_price":0}}}]</t>
  </si>
  <si>
    <t>2024-05-18 21:21:54</t>
  </si>
  <si>
    <t>2024-05-18 21:22:15</t>
  </si>
  <si>
    <t>Safiul Ansari</t>
  </si>
  <si>
    <t>15250</t>
  </si>
  <si>
    <t>The Ganache Factory - Cakes &amp; Desserts</t>
  </si>
  <si>
    <t>#156, 43rd Cross, 8th Block, Next to Udupi Hub Resto, Jayanagar, Bangalore</t>
  </si>
  <si>
    <t>8th Block</t>
  </si>
  <si>
    <t>12.91835714,77.578127</t>
  </si>
  <si>
    <t>Jayanagar</t>
  </si>
  <si>
    <t>[{"id":"28bf3ebb-4a69-4a92-88a4-f491a5f86e17","super_type":"SUPERTYPE_UNSPECIFIED","total_offer_discount":39.99,"discount_share":{"swiggy_discount":0,"store_discount":39.99,"alliance_discount":0},"discount_type":"PERCENTAGE","description":"10% off","fixed_charges":{"gp":{"id":"","final_price":0}}}]</t>
  </si>
  <si>
    <t>2024-05-18 09:07:26</t>
  </si>
  <si>
    <t>2024-05-18 09:07:44</t>
  </si>
  <si>
    <t>Rama Krishna</t>
  </si>
  <si>
    <t>630473</t>
  </si>
  <si>
    <t>Rasayan</t>
  </si>
  <si>
    <t>652,13th cross,29th main road BTM 2nd stage,560078, Bangalore Karnataka</t>
  </si>
  <si>
    <t>Health Bar</t>
  </si>
  <si>
    <t>12.907799,77.613487</t>
  </si>
  <si>
    <t>BTM 2nd Stage</t>
  </si>
  <si>
    <t>DEALICIOUS</t>
  </si>
  <si>
    <t>[{"id":"91e6269d-640b-443e-a7d4-46089c0574f6","super_type":"SUPERTYPE_UNSPECIFIED","total_offer_discount":124.99,"discount_share":{"swiggy_discount":0,"store_discount":124.99,"alliance_discount":0},"discount_type":"FLAT","description":"FLAT125 off","fixed_charges":{"gp":{"id":"","final_price":0}}}]</t>
  </si>
  <si>
    <t>2024-05-17 14:41:45</t>
  </si>
  <si>
    <t>2024-05-17 14:42:09</t>
  </si>
  <si>
    <t>Tapan Nayak</t>
  </si>
  <si>
    <t>34363</t>
  </si>
  <si>
    <t>Firangi Bake</t>
  </si>
  <si>
    <t>Shop No.4, Frist Floor, NGK Complex, Tavarekere Main Rd, 1st Stage, BTM Layout, Bengaluru, Karnataka 560029 ( Above DMart Ready)</t>
  </si>
  <si>
    <t>NGK Complex</t>
  </si>
  <si>
    <t>12.920219,77.610520</t>
  </si>
  <si>
    <t>BTM 1st Stage</t>
  </si>
  <si>
    <t>MDM150</t>
  </si>
  <si>
    <t>[{"id":"60d51c5f-a27d-407c-9d72-c55f498dea78","super_type":"SUPERTYPE_UNSPECIFIED","total_offer_discount":149.99,"discount_share":{"swiggy_discount":15,"store_discount":134.99,"alliance_discount":0},"discount_type":"FLAT","description":"Flat ₹150 off","fixed_charges":{"gp":{"id":"","final_price":0}}}]</t>
  </si>
  <si>
    <t>2024-05-10 22:20:55</t>
  </si>
  <si>
    <t>2024-05-10 22:21:01</t>
  </si>
  <si>
    <t>ARUN DYAVANAKATTI</t>
  </si>
  <si>
    <t>474244</t>
  </si>
  <si>
    <t>Daily Sushi</t>
  </si>
  <si>
    <t>No.5, 1st Floor, 9th Main Road, 5th block, Jayanagar, 560041</t>
  </si>
  <si>
    <t>5th Block</t>
  </si>
  <si>
    <t>12.92243257,77.58390586</t>
  </si>
  <si>
    <t>Cash</t>
  </si>
  <si>
    <t>2024-05-10 19:14:56</t>
  </si>
  <si>
    <t>2024-05-10 19:15:01</t>
  </si>
  <si>
    <t>PARASH</t>
  </si>
  <si>
    <t>[{"id":"8a02a1ac-9efe-46ea-9649-fc635c7c8618","super_type":"SUPERTYPE_UNSPECIFIED","total_offer_discount":35,"discount_share":{"swiggy_discount":0,"store_discount":35,"alliance_discount":0},"discount_type":"PERCENTAGE","description":"10% off","fixed_charges":{"gp":{"id":"","final_price":0}}}]</t>
  </si>
  <si>
    <t>2024-05-08 11:36:45</t>
  </si>
  <si>
    <t>2024-05-08 11:37:28</t>
  </si>
  <si>
    <t>Sanjay Kumar Mohanty</t>
  </si>
  <si>
    <t>534276</t>
  </si>
  <si>
    <t>Naalnaad Mane</t>
  </si>
  <si>
    <t>16,2ND FLOOR GOWRY'S BUILDING,ABOVE DOMINO'S,SY NO 13 OF AREKERE VILLAGE,BANNERGHATTA,BANGLAORE,jayanagar,B.B.M.PM south, karnataka - 560076</t>
  </si>
  <si>
    <t>Mico Layout</t>
  </si>
  <si>
    <t>12.89009167,77.5976944</t>
  </si>
  <si>
    <t>Arekere</t>
  </si>
  <si>
    <t>2024-05-07 23:45:56</t>
  </si>
  <si>
    <t>2024-05-07 23:46:17</t>
  </si>
  <si>
    <t>DIDAR HUSSAIN LASKAR</t>
  </si>
  <si>
    <t>524936</t>
  </si>
  <si>
    <t>Theobroma</t>
  </si>
  <si>
    <t>SHOP NO-39,SHABARI ARCADE,14TH MAIN ROAD,OPP MAX SHOWROOM, HSR LAYOUT,BANGALORE-560102, BTM Layout , B.B.M.P South, Karnataka-560102</t>
  </si>
  <si>
    <t>7th Sector</t>
  </si>
  <si>
    <t>12.91135428,77.6380469</t>
  </si>
  <si>
    <t>HSR Layout</t>
  </si>
  <si>
    <t>2024-05-07 21:31:39</t>
  </si>
  <si>
    <t>2024-05-07 21:31:57</t>
  </si>
  <si>
    <t>Vijayakumar  V</t>
  </si>
  <si>
    <t>437065</t>
  </si>
  <si>
    <t>SHOP NO. 475, GROUND FLOOR, 39TH "C" CROSS, 9TH MAIN, 5THBLOCK, JAYANAGAR,BANGALORE, Jayanagar ,B.B.M.P South, Karnataka,560041</t>
  </si>
  <si>
    <t>5th block</t>
  </si>
  <si>
    <t>12.92017647,77.5836421</t>
  </si>
  <si>
    <t>[{"id":"8a02a1ac-9efe-46ea-9649-fc635c7c8618","super_type":"SUPERTYPE_UNSPECIFIED","total_offer_discount":28,"discount_share":{"swiggy_discount":0,"store_discount":28,"alliance_discount":0},"discount_type":"PERCENTAGE","description":"10% off","fixed_charges":{"gp":{"id":"","final_price":0}}}]</t>
  </si>
  <si>
    <t>2024-05-07 19:02:12</t>
  </si>
  <si>
    <t>2024-05-07 19:02:53</t>
  </si>
  <si>
    <t>Gangi Reddy</t>
  </si>
  <si>
    <t>TRYNEW</t>
  </si>
  <si>
    <t>[{"id":"5c8d9a7d-f899-4dcc-998e-d3e0b2960661","super_type":"SUPERTYPE_UNSPECIFIED","total_offer_discount":80,"discount_share":{"swiggy_discount":0,"store_discount":80,"alliance_discount":0},"discount_type":"PERCENTAGE","description":"40% off","fixed_charges":{"gp":{"id":"","final_price":0}}}]</t>
  </si>
  <si>
    <t>2024-05-07 13:18:22</t>
  </si>
  <si>
    <t>2024-05-07 13:18:44</t>
  </si>
  <si>
    <t>Shiba Kairi</t>
  </si>
  <si>
    <t>[{"id":"28bf3ebb-4a69-4a92-88a4-f491a5f86e17","super_type":"SUPERTYPE_UNSPECIFIED","total_offer_discount":23.9,"discount_share":{"swiggy_discount":0,"store_discount":23.9,"alliance_discount":0},"discount_type":"PERCENTAGE","description":"10% off","fixed_charges":{"gp":{"id":"","final_price":0}}}]</t>
  </si>
  <si>
    <t>2024-05-07 10:06:46</t>
  </si>
  <si>
    <t>2024-05-07 10:07:00</t>
  </si>
  <si>
    <t>Harikrishna R</t>
  </si>
  <si>
    <t>[{"id":"137a1aed-678a-41ce-ac11-088fcce35f29","super_type":"SUPERTYPE_UNSPECIFIED","total_offer_discount":100,"discount_share":{"swiggy_discount":48,"store_discount":52,"alliance_discount":0},"discount_type":"PERCENTAGE","description":"50% off","fixed_charges":{"gp":{"id":"","final_price":0}}}]</t>
  </si>
  <si>
    <t>2024-05-06 19:18:39</t>
  </si>
  <si>
    <t>2024-05-06 19:19:03</t>
  </si>
  <si>
    <t>Puran Singh</t>
  </si>
  <si>
    <t>2024-05-06 16:03:12</t>
  </si>
  <si>
    <t>2024-05-06 16:03:45</t>
  </si>
  <si>
    <t>Ash Narayan Das</t>
  </si>
  <si>
    <t>694704</t>
  </si>
  <si>
    <t>Love And Crumble</t>
  </si>
  <si>
    <t>NO 307, LALEHZAR APARTMENTS PALACE ROAD SHIVAJINAGARA B.B.M.P EAST KARNATAKA</t>
  </si>
  <si>
    <t>Lalehzar Apartments Palace Road</t>
  </si>
  <si>
    <t>12.98505012,77.5880017</t>
  </si>
  <si>
    <t>Malleshwaram</t>
  </si>
  <si>
    <t>[{"id":"8ecc3140-454d-483f-810e-78be04d68af5","super_type":"SUPERTYPE_UNSPECIFIED","total_offer_discount":124.99,"discount_share":{"swiggy_discount":0,"store_discount":124.99,"alliance_discount":0},"discount_type":"FLAT","description":"FLAT125 off","fixed_charges":{"gp":{"id":"","final_price":0}}}]</t>
  </si>
  <si>
    <t>2024-05-06 13:53:24</t>
  </si>
  <si>
    <t>2024-05-06 13:53:46</t>
  </si>
  <si>
    <t>MRITYUNJAY HALDER</t>
  </si>
  <si>
    <t>34381</t>
  </si>
  <si>
    <t>No 87/15/638/2 Nanjappa garden, Katha no - 1785/87/15/638/2, Arekere Village, begur hobali, Bangalore South taluk, Bangalore - 560076</t>
  </si>
  <si>
    <t>Begur Hobali</t>
  </si>
  <si>
    <t>12.885643,77.602120</t>
  </si>
  <si>
    <t>2024-05-06 08:43:13</t>
  </si>
  <si>
    <t>2024-05-06 08:43:38</t>
  </si>
  <si>
    <t>THARUN N</t>
  </si>
  <si>
    <t>[{"id":"28bf3ebb-4a69-4a92-88a4-f491a5f86e17","super_type":"SUPERTYPE_UNSPECIFIED","total_offer_discount":40,"discount_share":{"swiggy_discount":0,"store_discount":40,"alliance_discount":0},"discount_type":"PERCENTAGE","description":"10% off","fixed_charges":{"gp":{"id":"","final_price":0}}}]</t>
  </si>
  <si>
    <t>2024-05-05 19:17:56</t>
  </si>
  <si>
    <t>2024-05-05 19:18:22</t>
  </si>
  <si>
    <t xml:space="preserve">SrinivasSrini </t>
  </si>
  <si>
    <t>JUMBO</t>
  </si>
  <si>
    <t>[{"id":"7b5f26f9-18b8-4c51-aed1-b1e142eba2ae","super_type":"SUPERTYPE_UNSPECIFIED","total_offer_discount":149.4,"discount_share":{"swiggy_discount":0,"store_discount":149.4,"alliance_discount":0},"discount_type":"PERCENTAGE","description":"30% off","fixed_charges":{"gp":{"id":"","final_price":0}}}]</t>
  </si>
  <si>
    <t>2024-05-05 08:36:52</t>
  </si>
  <si>
    <t>2024-05-05 08:37:10</t>
  </si>
  <si>
    <t>Rajesh Kumar</t>
  </si>
  <si>
    <t>[{"id":"903b3cd1-104b-4bdd-94d3-96daaea1a80b","super_type":"SUPERTYPE_UNSPECIFIED","total_offer_discount":44.99,"discount_share":{"swiggy_discount":0,"store_discount":44.99,"alliance_discount":0},"discount_type":"PERCENTAGE","description":"15% off","fixed_charges":{"gp":{"id":"","final_price":0}}}]</t>
  </si>
  <si>
    <t>2024-05-04 15:56:01</t>
  </si>
  <si>
    <t>2024-05-04 15:56:19</t>
  </si>
  <si>
    <t>Surendra J</t>
  </si>
  <si>
    <t>[{"id":"bcdcaa8c-6d73-46c7-af56-3b6dc93e207a","super_type":"SUPERTYPE_UNSPECIFIED","total_offer_discount":60,"discount_share":{"swiggy_discount":12,"store_discount":48,"alliance_discount":0},"discount_type":"PERCENTAGE","description":"30% off","fixed_charges":{"gp":{"id":"","final_price":0}}}]</t>
  </si>
  <si>
    <t>2024-05-02 19:15:20</t>
  </si>
  <si>
    <t>2024-05-02 19:15:26</t>
  </si>
  <si>
    <t>KAMAL CHETRY</t>
  </si>
  <si>
    <t>35953</t>
  </si>
  <si>
    <t>Homely</t>
  </si>
  <si>
    <t>No. 135/14, 100ft Ring Road, 15th Cross, J.P.Nagar, 3rd Phase, Bengaluru.560076</t>
  </si>
  <si>
    <t>3rd Phase</t>
  </si>
  <si>
    <t>12.906291,77.596256</t>
  </si>
  <si>
    <t>[{"id":"6efa58fe-50e0-4c94-aadd-f2cf8ce25c67","super_type":"SUPERTYPE_UNSPECIFIED","total_offer_discount":99.99000000000001,"discount_share":{"swiggy_discount":47.99,"store_discount":52,"alliance_discount":0},"discount_type":"PERCENTAGE","description":"50% off","fixed_charges":{"gp":{"id":"","final_price":0}}}]</t>
  </si>
  <si>
    <t>2024-05-01 15:58:19</t>
  </si>
  <si>
    <t>2024-05-01 15:58:57</t>
  </si>
  <si>
    <t>Sakti Prasad Sundaray</t>
  </si>
  <si>
    <t>[{"id":"7b5f26f9-18b8-4c51-aed1-b1e142eba2ae","super_type":"SUPERTYPE_UNSPECIFIED","total_offer_discount":148.8,"discount_share":{"swiggy_discount":0,"store_discount":148.8,"alliance_discount":0},"discount_type":"PERCENTAGE","description":"30% off","fixed_charges":{"gp":{"id":"","final_price":0}}}]</t>
  </si>
  <si>
    <t>2024-05-01 10:16:04</t>
  </si>
  <si>
    <t>2024-05-01 10:16:24</t>
  </si>
  <si>
    <t>Shaik Yaseen</t>
  </si>
  <si>
    <t>[{"id":"7b5f26f9-18b8-4c51-aed1-b1e142eba2ae","super_type":"SUPERTYPE_UNSPECIFIED","total_offer_discount":149.99,"discount_share":{"swiggy_discount":0,"store_discount":149.99,"alliance_discount":0},"discount_type":"PERCENTAGE","description":"30% off","fixed_charges":{"gp":{"id":"","final_price":0}}}]</t>
  </si>
  <si>
    <t>2024-04-27 10:09:55</t>
  </si>
  <si>
    <t>2024-04-27 10:10:09</t>
  </si>
  <si>
    <t>RIYAZ AHMED</t>
  </si>
  <si>
    <t>2024-04-27 10:07:51</t>
  </si>
  <si>
    <t>2024-04-27 10:08:09</t>
  </si>
  <si>
    <t>cancelled</t>
  </si>
  <si>
    <t>[{"id":"f90d8119-321f-4158-a454-d7576a8e0a65","super_type":"SUPERTYPE_UNSPECIFIED","total_offer_discount":75,"discount_share":{"swiggy_discount":18.75,"store_discount":56.25,"alliance_discount":0},"discount_type":"PERCENTAGE","description":"30% off","fixed_charges":{"gp":{"id":"","final_price":0}}}]</t>
  </si>
  <si>
    <t>2024-04-25 19:00:59</t>
  </si>
  <si>
    <t>2024-04-25 19:01:33</t>
  </si>
  <si>
    <t>RAJESH CHETRY</t>
  </si>
  <si>
    <t>260968</t>
  </si>
  <si>
    <t>Chowman</t>
  </si>
  <si>
    <t>SAI DURGA ENCLAVE, KATHA NO 1099, AND NO 833/1, GROUND FLOOR, BELLENDUR VILLAGE, VARTHUR HOBLI, BANGALORE, Mahadevapura , B.B.M.P East, Karnataka-560037</t>
  </si>
  <si>
    <t>Sai Durga Enclave</t>
  </si>
  <si>
    <t>12.92314229,77.6713331</t>
  </si>
  <si>
    <t>Bellandur</t>
  </si>
  <si>
    <t>[{"id":"12337c67-3996-4380-afdd-b7cf7e3de7a3","super_type":"SUPERTYPE_UNSPECIFIED","total_offer_discount":100,"discount_share":{"swiggy_discount":48,"store_discount":52,"alliance_discount":0},"discount_type":"PERCENTAGE","description":"50% off","fixed_charges":{"gp":{"id":"","final_price":0}}}]</t>
  </si>
  <si>
    <t>2024-04-24 19:40:51</t>
  </si>
  <si>
    <t>2024-04-24 19:41:11</t>
  </si>
  <si>
    <t>K Babu</t>
  </si>
  <si>
    <t>742267</t>
  </si>
  <si>
    <t>Counter No. 23, 24 &amp; 33, No. 53/2,  Doddakannelli Village, Varthur Hobli,  Bangalore, Mahadevapura , B.B.M.P East,  Karnataka-560038</t>
  </si>
  <si>
    <t>Sarjapur Road</t>
  </si>
  <si>
    <t>12.90906249,77.68766132</t>
  </si>
  <si>
    <t>Bellandur Sarjapur</t>
  </si>
  <si>
    <t>[{"id":"a95119de-61b8-489b-ad8b-1cf7a5d62a5e","super_type":"SUPERTYPE_UNSPECIFIED","total_offer_discount":50,"discount_share":{"swiggy_discount":15,"store_discount":35,"alliance_discount":0},"discount_type":"PERCENTAGE","description":"20% off","fixed_charges":{"gp":{"id":"","final_price":0}}}]</t>
  </si>
  <si>
    <t>2024-04-23 23:43:02</t>
  </si>
  <si>
    <t>2024-04-23 23:43:23</t>
  </si>
  <si>
    <t>Kapsi Mohammed Tufail</t>
  </si>
  <si>
    <t>29349</t>
  </si>
  <si>
    <t>Frozen Bottle - Milkshakes, Desserts And Ice Cream</t>
  </si>
  <si>
    <t>88, Celler Floor, 17th Cross, 14th main, Sector - 4, HSR, Bangalore</t>
  </si>
  <si>
    <t>12.91233118,77.63839138</t>
  </si>
  <si>
    <t>[{"id":"768dad50-eef1-40d7-bfd4-5327ee71bb5a","super_type":"SUPERTYPE_UNSPECIFIED","total_offer_discount":60,"discount_share":{"swiggy_discount":0,"store_discount":60,"alliance_discount":0},"discount_type":"PERCENTAGE","description":"30% off","fixed_charges":{"gp":{"id":"","final_price":0}}}]</t>
  </si>
  <si>
    <t>2024-04-23 19:20:12</t>
  </si>
  <si>
    <t>2024-04-23 19:20:29</t>
  </si>
  <si>
    <t>ANSHUMAN DAS</t>
  </si>
  <si>
    <t>34366</t>
  </si>
  <si>
    <t>SHOP NO 2318,HSR LAYOUT SECTOR ONE,NEAR NIFT COLLEGE,BANGALORE</t>
  </si>
  <si>
    <t>Near NIFT College, Sector 1</t>
  </si>
  <si>
    <t>12.912101,77.65163400000006</t>
  </si>
  <si>
    <t>[{"id":"24ecd13d-e27f-4858-9c2a-bdc2b708cce4","super_type":"SUPERTYPE_UNSPECIFIED","total_offer_discount":150,"discount_share":{"swiggy_discount":75,"store_discount":75,"alliance_discount":0},"discount_type":"FLAT","description":"Flat ₹150 off","fixed_charges":{"gp":{"id":"","final_price":0}}}]</t>
  </si>
  <si>
    <t>2024-04-22 19:58:41</t>
  </si>
  <si>
    <t>2024-04-22 19:59:12</t>
  </si>
  <si>
    <t>SUSHIL MANDAL</t>
  </si>
  <si>
    <t>17036</t>
  </si>
  <si>
    <t>Leon's - Burgers &amp; Wings (Leon Grill)</t>
  </si>
  <si>
    <t>No.17, Ground Floor, 18th Cross Road, 3rd Sector, HSR Layout, Bangalore.</t>
  </si>
  <si>
    <t>12.91181131,77.64374963</t>
  </si>
  <si>
    <t>[{"id":"8cdbbc6c-7669-489e-b255-421d322ec80f","super_type":"SUPERTYPE_UNSPECIFIED","total_offer_discount":150,"discount_share":{"swiggy_discount":75,"store_discount":75,"alliance_discount":0},"discount_type":"FLAT","description":"Flat ₹150 off","fixed_charges":{"gp":{"id":"","final_price":0}}}]</t>
  </si>
  <si>
    <t>2024-04-18 18:43:41</t>
  </si>
  <si>
    <t>2024-04-18 18:44:05</t>
  </si>
  <si>
    <t>Kundan</t>
  </si>
  <si>
    <t>2024-04-03 18:53:56</t>
  </si>
  <si>
    <t>2024-04-03 18:54:20</t>
  </si>
  <si>
    <t>chandan  K</t>
  </si>
  <si>
    <t>2024-04-01 19:23:01</t>
  </si>
  <si>
    <t>2024-04-01 19:23:06</t>
  </si>
  <si>
    <t>Noor Azam</t>
  </si>
  <si>
    <t>2024-03-31 15:46:07</t>
  </si>
  <si>
    <t>2024-03-31 15:46:25</t>
  </si>
  <si>
    <t>Bharath R</t>
  </si>
  <si>
    <t>[{"id":"16ef3f62-96d1-48fa-977b-3851da22b190","super_type":"SUPERTYPE_UNSPECIFIED","total_offer_discount":80,"discount_share":{"swiggy_discount":20,"store_discount":60,"alliance_discount":0},"discount_type":"PERCENTAGE","description":"40% off","fixed_charges":{"gp":{"id":"","final_price":0}}}]</t>
  </si>
  <si>
    <t>2024-03-25 14:23:37</t>
  </si>
  <si>
    <t>2024-03-25 14:23:54</t>
  </si>
  <si>
    <t>MAHESH BABU</t>
  </si>
  <si>
    <t>2675</t>
  </si>
  <si>
    <t>Subway</t>
  </si>
  <si>
    <t>36, 3rd Store, 7th Sector, 14th main, HSR Layout</t>
  </si>
  <si>
    <t>12.9118135,77.637958</t>
  </si>
  <si>
    <t>Hsr Layout</t>
  </si>
  <si>
    <t>FLATDEAL</t>
  </si>
  <si>
    <t>[{"id":"20f94987-8858-4c7d-bf7b-c2ff8a327fa8","super_type":"SUPERTYPE_UNSPECIFIED","total_offer_discount":99.99,"discount_share":{"swiggy_discount":0,"store_discount":99.99,"alliance_discount":0},"discount_type":"FLAT","description":"FLAT100 off","fixed_charges":{"gp":{"id":"","final_price":0}}}]</t>
  </si>
  <si>
    <t>2024-03-21 19:08:54</t>
  </si>
  <si>
    <t>2024-03-21 19:09:08</t>
  </si>
  <si>
    <t xml:space="preserve">Kumar P </t>
  </si>
  <si>
    <t>[{"id":"e7373c56-9ba3-49f4-be3d-f75ecf92675e","super_type":"SUPERTYPE_UNSPECIFIED","total_offer_discount":80,"discount_share":{"swiggy_discount":20,"store_discount":60,"alliance_discount":0},"discount_type":"PERCENTAGE","description":"40% off","fixed_charges":{"gp":{"id":"","final_price":0}}}]</t>
  </si>
  <si>
    <t>2024-03-10 21:08:36</t>
  </si>
  <si>
    <t>2024-03-10 21:09:03</t>
  </si>
  <si>
    <t>Subrath Panda</t>
  </si>
  <si>
    <t>2024-03-09 18:33:51</t>
  </si>
  <si>
    <t>2024-03-09 18:34:15</t>
  </si>
  <si>
    <t>Sreedhar V</t>
  </si>
  <si>
    <t>2024-03-08 19:49:32</t>
  </si>
  <si>
    <t>2024-03-08 19:49:59</t>
  </si>
  <si>
    <t>BIRENDRA DHAMI</t>
  </si>
  <si>
    <t>464830</t>
  </si>
  <si>
    <t>Bowl Soul</t>
  </si>
  <si>
    <t>No 526/A,Ganesh Complex,Ground floor,18th Main Road,HSR 3rd sector,Bangalore:560102</t>
  </si>
  <si>
    <t>3rd Sector</t>
  </si>
  <si>
    <t>12.9054065,77.64410799999996</t>
  </si>
  <si>
    <t>[{"id":"68fb12f6-cd47-465f-8695-896e48e6c41d","super_type":"SUPERTYPE_UNSPECIFIED","total_offer_discount":80,"discount_share":{"swiggy_discount":20,"store_discount":60,"alliance_discount":0},"discount_type":"PERCENTAGE","description":"40% off","fixed_charges":{"gp":{"id":"","final_price":0}}}]</t>
  </si>
  <si>
    <t>2024-03-05 21:00:14</t>
  </si>
  <si>
    <t>2024-03-05 21:00:40</t>
  </si>
  <si>
    <t xml:space="preserve">bhagyavanth </t>
  </si>
  <si>
    <t>2024-03-04 14:50:09</t>
  </si>
  <si>
    <t>2024-03-04 14:50:43</t>
  </si>
  <si>
    <t>BHARKATH ALI A</t>
  </si>
  <si>
    <t>18973</t>
  </si>
  <si>
    <t>Koramangala, 7, Mahakavi Vemana Rd, KHB Block Koramangala, Koramangala 4-B Block, Koramangala, Bengaluru, Karnataka 560034</t>
  </si>
  <si>
    <t>Koramangala</t>
  </si>
  <si>
    <t>12.93171741,77.6229908</t>
  </si>
  <si>
    <t>2024-03-03 17:55:54</t>
  </si>
  <si>
    <t>2024-03-03 17:56:20</t>
  </si>
  <si>
    <t>KESHAV RAJ BHATTA</t>
  </si>
  <si>
    <t>254655</t>
  </si>
  <si>
    <t>No.1212, SBM Fortune, 4th Floor, 22nd Cross Road, 14th Main Rd, 3rd Sector, HSR Layout, Bengaluru, Karnataka 560102, India</t>
  </si>
  <si>
    <t>12.90942041,77.63866215</t>
  </si>
  <si>
    <t>2024-03-02 01:47:43</t>
  </si>
  <si>
    <t>2024-03-02 01:49:00</t>
  </si>
  <si>
    <t xml:space="preserve">DEBAJIT SAHA </t>
  </si>
  <si>
    <t>621134</t>
  </si>
  <si>
    <t>Sundae Everyday Ice Creams</t>
  </si>
  <si>
    <t>Bharadwaj Ventures No.2007,Next to Park Villa, Behind Amul Parlour, Near Venkateshwara College, Vidya Nagar, Bengaluru North 562157, Bangalore North, Bangalore Urban, Karnataka-562157</t>
  </si>
  <si>
    <t>Vidya Nagar</t>
  </si>
  <si>
    <t>13.16024,77.6351</t>
  </si>
  <si>
    <t>Yelahanka</t>
  </si>
  <si>
    <t>[{"id":"ba56dab2-1b4c-454a-87c7-66ccaab3091f","super_type":"SUPERTYPE_UNSPECIFIED","total_offer_discount":20.9,"discount_share":{"swiggy_discount":0,"store_discount":20.9,"alliance_discount":0},"discount_type":"PERCENTAGE","description":"10% off","fixed_charges":{"gp":{"id":"","final_price":0}}}]</t>
  </si>
  <si>
    <t>2024-02-27 23:58:33</t>
  </si>
  <si>
    <t>2024-02-27 23:58:54</t>
  </si>
  <si>
    <t>Md Majir Uddin Hachayini</t>
  </si>
  <si>
    <t>647582</t>
  </si>
  <si>
    <t>Smoky Docky</t>
  </si>
  <si>
    <t>130, 17th H Main Rd, KHB Colony, M.I.G, 5th Block, Koramangala, Bengaluru, Karnataka 560095, India</t>
  </si>
  <si>
    <t>12.934678,77.616812</t>
  </si>
  <si>
    <t>[{"id":"5ba597b1-287c-4335-9317-451a632f4519","super_type":"SUPERTYPE_UNSPECIFIED","total_offer_discount":75,"discount_share":{"swiggy_discount":18.75,"store_discount":56.25,"alliance_discount":0},"discount_type":"PERCENTAGE","description":"30% off","fixed_charges":{"gp":{"id":"","final_price":0}}}]</t>
  </si>
  <si>
    <t>2024-02-27 19:55:39</t>
  </si>
  <si>
    <t>2024-02-27 19:56:01</t>
  </si>
  <si>
    <t>Dipak Basnet</t>
  </si>
  <si>
    <t>656392</t>
  </si>
  <si>
    <t>CNA Arcade, Ground Floor, No. 37, 1st Main, 1st Block, Koramangala, Bangalore-560034</t>
  </si>
  <si>
    <t>1st Block</t>
  </si>
  <si>
    <t>12.928999,77.635218</t>
  </si>
  <si>
    <t>2024-02-26 20:09:48</t>
  </si>
  <si>
    <t>2024-02-26 20:12:01</t>
  </si>
  <si>
    <t>Rajendra Sahoo</t>
  </si>
  <si>
    <t>[{"id":"c43b8888-f483-43af-9935-7d4034582849","super_type":"SUPERTYPE_UNSPECIFIED","total_offer_discount":35.7,"discount_share":{"swiggy_discount":0,"store_discount":35.7,"alliance_discount":0},"discount_type":"PERCENTAGE","description":"10% off","fixed_charges":{"gp":{"id":"","final_price":0}}}]</t>
  </si>
  <si>
    <t>2024-02-18 18:18:22</t>
  </si>
  <si>
    <t>2024-02-18 18:18:57</t>
  </si>
  <si>
    <t xml:space="preserve">ChandraSheaker Raju </t>
  </si>
  <si>
    <t>144115</t>
  </si>
  <si>
    <t>Parcel 5 Food Court, Embassy Tech Village, Outer Ring Road, Near New Horizon College, Devarabeesanahalli, Varthur Hobli, Bangalore , Mahadevapura , B.B.M.P East, Karnataka-560103</t>
  </si>
  <si>
    <t>12.927366,77.692146</t>
  </si>
  <si>
    <t>Devarabeesanahalli</t>
  </si>
  <si>
    <t>2024-02-16 20:31:01</t>
  </si>
  <si>
    <t>2024-02-16 20:31:06</t>
  </si>
  <si>
    <t>MUJAHIDUL ISLAM LASKAR</t>
  </si>
  <si>
    <t>[{"id":"14a3b6c3-fe74-4f29-9b89-a2368550fb25","super_type":"SUPERTYPE_UNSPECIFIED","total_offer_discount":80,"discount_share":{"swiggy_discount":20,"store_discount":60,"alliance_discount":0},"discount_type":"PERCENTAGE","description":"40% off","fixed_charges":{"gp":{"id":"","final_price":0}}}]</t>
  </si>
  <si>
    <t>2024-02-16 13:57:27</t>
  </si>
  <si>
    <t>2024-02-16 13:57:55</t>
  </si>
  <si>
    <t>Jitendra Kumar Nayak</t>
  </si>
  <si>
    <t>[{"id":"c43b8888-f483-43af-9935-7d4034582849","super_type":"SUPERTYPE_UNSPECIFIED","total_offer_discount":40,"discount_share":{"swiggy_discount":0,"store_discount":40,"alliance_discount":0},"discount_type":"PERCENTAGE","description":"10% off","fixed_charges":{"gp":{"id":"","final_price":0}}}]</t>
  </si>
  <si>
    <t>2024-02-15 13:08:25</t>
  </si>
  <si>
    <t>2024-02-15 13:08:43</t>
  </si>
  <si>
    <t>Naresh C</t>
  </si>
  <si>
    <t>2024-02-13 19:52:04</t>
  </si>
  <si>
    <t>2024-02-13 19:52:39</t>
  </si>
  <si>
    <t>SANJIT TATUA</t>
  </si>
  <si>
    <t>[{"id":"a06ad688-47c7-4d07-b1e6-983b5c122814","super_type":"SUPERTYPE_UNSPECIFIED","total_offer_discount":111.6,"discount_share":{"swiggy_discount":22.32,"store_discount":89.28,"alliance_discount":0},"discount_type":"PERCENTAGE","description":"60% off","fixed_charges":{"gp":{"id":"","final_price":0}}}]</t>
  </si>
  <si>
    <t>2024-02-04 01:44:56</t>
  </si>
  <si>
    <t>2024-02-04 01:45:34</t>
  </si>
  <si>
    <t>VIVEK KANTU RATHOD</t>
  </si>
  <si>
    <t>418488</t>
  </si>
  <si>
    <t>NOTO - Ice Creams &amp; Desserts</t>
  </si>
  <si>
    <t>#345, kaikondrahalli Sarjapura main road Bangalore 560056, Mahadevpura, B.B.M.P East, Karnataka - 560056</t>
  </si>
  <si>
    <t>Kaikondrahalli</t>
  </si>
  <si>
    <t>12.913087,77.678681</t>
  </si>
  <si>
    <t>2024-02-03 15:17:54</t>
  </si>
  <si>
    <t>2024-02-03 15:18:26</t>
  </si>
  <si>
    <t>Satish kumar</t>
  </si>
  <si>
    <t>422128</t>
  </si>
  <si>
    <t>Baba Ganoush</t>
  </si>
  <si>
    <t>KORMANGALA, 6th block, 80ft main road Shop no 2, NA chambers 2 , 478, 6th Block, Koramangala, Bengaluru, Karnataka 560095, India</t>
  </si>
  <si>
    <t>6th Block</t>
  </si>
  <si>
    <t>12.9398836,77.6252951</t>
  </si>
  <si>
    <t>2024-02-02 20:08:16</t>
  </si>
  <si>
    <t>2024-02-02 20:09:12</t>
  </si>
  <si>
    <t>yogeesha s</t>
  </si>
  <si>
    <t>KHB Colony</t>
  </si>
  <si>
    <t>2024-01-28 16:28:50</t>
  </si>
  <si>
    <t>2024-01-28 16:28:56</t>
  </si>
  <si>
    <t>JAGANNATH MOHANTA</t>
  </si>
  <si>
    <t>[{"id":"0d0cbd02-407f-4bb6-9c39-91b66ef5c01e","super_type":"SUPERTYPE_UNSPECIFIED","total_offer_discount":50,"discount_share":{"swiggy_discount":0,"store_discount":50,"alliance_discount":0},"discount_type":"PERCENTAGE","description":"20% off","fixed_charges":{"gp":{"id":"","final_price":0}}}]</t>
  </si>
  <si>
    <t>2024-01-27 21:43:01</t>
  </si>
  <si>
    <t>2024-01-27 21:43:42</t>
  </si>
  <si>
    <t>23805</t>
  </si>
  <si>
    <t>Domino's Pizza</t>
  </si>
  <si>
    <t>Ground Floor, # 1573, Sector 1(Agara), HSR Layout,,Bangalore - 560102</t>
  </si>
  <si>
    <t>1st Sector</t>
  </si>
  <si>
    <t>12.923037,77.646448</t>
  </si>
  <si>
    <t>[{"id":"66f89a57-1f02-4c46-a99b-8fc3b891874a","super_type":"SUPERTYPE_UNSPECIFIED","total_offer_discount":49.99,"discount_share":{"swiggy_discount":7.5,"store_discount":42.49,"alliance_discount":0},"discount_type":"PERCENTAGE","description":"20% off","fixed_charges":{"gp":{"id":"","final_price":0}}}]</t>
  </si>
  <si>
    <t>2024-01-20 23:31:34</t>
  </si>
  <si>
    <t>2024-01-20 23:31:48</t>
  </si>
  <si>
    <t>RAVI KUMAR MANDAL</t>
  </si>
  <si>
    <t>502673</t>
  </si>
  <si>
    <t>The Belgian Waffle Co.</t>
  </si>
  <si>
    <t>Near VI store, 647, 27th main road, sector 2, sector 5, 1st sector HSR Layout, Bengaluru Karnataka - 560102</t>
  </si>
  <si>
    <t>2nd Sector</t>
  </si>
  <si>
    <t>12.916097,77.65184</t>
  </si>
  <si>
    <t>2024-01-20 15:28:16</t>
  </si>
  <si>
    <t>2024-01-20 15:28:43</t>
  </si>
  <si>
    <t>Imdadul Hoque Laskar</t>
  </si>
  <si>
    <t>FLAT100</t>
  </si>
  <si>
    <t>[{"id":"c5767fa3-4c94-4be2-88d4-9b923f4a2e14","super_type":"SUPERTYPE_UNSPECIFIED","total_offer_discount":99.99,"discount_share":{"swiggy_discount":0,"store_discount":99.99,"alliance_discount":0},"discount_type":"FLAT","description":"Flat ₹100 off","fixed_charges":{"gp":{"id":"","final_price":0}}}]</t>
  </si>
  <si>
    <t>2024-01-16 17:32:52</t>
  </si>
  <si>
    <t>2024-01-16 17:33:03</t>
  </si>
  <si>
    <t>Pravin Kumar</t>
  </si>
  <si>
    <t>[{"id":"4102e284-fde9-40d3-b050-82926746d231","super_type":"SUPERTYPE_UNSPECIFIED","total_offer_discount":99.99,"discount_share":{"swiggy_discount":0,"store_discount":99.99,"alliance_discount":0},"discount_type":"FLAT","description":"Flat ₹100 off","fixed_charges":{"gp":{"id":"","final_price":0}}}]</t>
  </si>
  <si>
    <t>2024-01-16 17:30:27</t>
  </si>
  <si>
    <t>2024-01-16 17:30:32</t>
  </si>
  <si>
    <t>[{"id":"e869bbb4-07f7-44d5-a519-1acaeadf5e53","super_type":"SUPERTYPE_UNSPECIFIED","total_offer_discount":99.99,"discount_share":{"swiggy_discount":29.99,"store_discount":70,"alliance_discount":0},"discount_type":"FLAT","description":"FLAT100 off","fixed_charges":{"gp":{"id":"","final_price":0}}}]</t>
  </si>
  <si>
    <t>2024-01-14 14:19:25</t>
  </si>
  <si>
    <t>2024-01-14 14:19:42</t>
  </si>
  <si>
    <t>Siddartha U</t>
  </si>
  <si>
    <t>375045</t>
  </si>
  <si>
    <t>Paratha Envy</t>
  </si>
  <si>
    <t>NO.504, 2ND FLOOR, 6TH CROSS, 6TH BLOCK, KORAMANGALA BANGALORE., BTM Layout, B.B.M.P South, Karnataka-560095</t>
  </si>
  <si>
    <t>12.937246,77.624643</t>
  </si>
  <si>
    <t>2024-01-09 01:01:28</t>
  </si>
  <si>
    <t>2024-01-09 01:01:48</t>
  </si>
  <si>
    <t>Binoy Debbarma</t>
  </si>
  <si>
    <t>23682</t>
  </si>
  <si>
    <t>McDonald's</t>
  </si>
  <si>
    <t>HSR Layout #1, 14th Main,HSR LSector VII, Bengaluru- 56102.</t>
  </si>
  <si>
    <t>12.91207388,77.6380679</t>
  </si>
  <si>
    <t>[{"id":"c5752e1c-f5c2-4414-85fa-57de3a043c19","super_type":"SUPERTYPE_UNSPECIFIED","total_offer_discount":35.7,"discount_share":{"swiggy_discount":0,"store_discount":35.7,"alliance_discount":0},"discount_type":"PERCENTAGE","description":"10% off","fixed_charges":{"gp":{"id":"","final_price":0}}}]</t>
  </si>
  <si>
    <t>2023-12-31 20:34:35</t>
  </si>
  <si>
    <t>2023-12-31 20:34:53</t>
  </si>
  <si>
    <t xml:space="preserve">SUMANMANDAL </t>
  </si>
  <si>
    <t>2023-12-31 20:29:21</t>
  </si>
  <si>
    <t>2023-12-31 20:29:27</t>
  </si>
  <si>
    <t>Mohammad Wasim Akram</t>
  </si>
  <si>
    <t>12.909368,77.638656</t>
  </si>
  <si>
    <t>CELEBRATIONS</t>
  </si>
  <si>
    <t>[{"id":"0cf35ab8-1dc8-4c78-8500-44beda4d0877","super_type":"SUPERTYPE_UNSPECIFIED","total_offer_discount":174.99,"discount_share":{"swiggy_discount":52.5,"store_discount":122.49,"alliance_discount":0},"discount_type":"FLAT","description":"Flat ₹175 off","fixed_charges":{"gp":{"id":"","final_price":0}}}]</t>
  </si>
  <si>
    <t>2023-12-26 15:19:03</t>
  </si>
  <si>
    <t>2023-12-26 15:19:25</t>
  </si>
  <si>
    <t>UMESH</t>
  </si>
  <si>
    <t>398360</t>
  </si>
  <si>
    <t>Burger Seigneur</t>
  </si>
  <si>
    <t>#717, 10th main road 2nd cross Hosapalya Opposite of Subodhini English high school ITI layout sector 7.</t>
  </si>
  <si>
    <t>MANGAMMANAPALYA</t>
  </si>
  <si>
    <t>12.90073452,77.6400283</t>
  </si>
  <si>
    <t>ITI layout, Hosapalya</t>
  </si>
  <si>
    <t>[{"id":"8493942f-3551-4789-a766-bd2e8eab5603","super_type":"SUPERTYPE_UNSPECIFIED","total_offer_discount":80,"discount_share":{"swiggy_discount":12,"store_discount":68,"alliance_discount":0},"discount_type":"PERCENTAGE","description":"40% off","fixed_charges":{"gp":{"id":"","final_price":0}}}]</t>
  </si>
  <si>
    <t>2023-12-25 13:37:43</t>
  </si>
  <si>
    <t>2023-12-25 13:38:02</t>
  </si>
  <si>
    <t>UNOOSE YUSUF</t>
  </si>
  <si>
    <t>[{"id":"485642ce-1796-4eab-9811-3ff5e4b7d538","super_type":"SUPERTYPE_UNSPECIFIED","total_offer_discount":80,"discount_share":{"swiggy_discount":28,"store_discount":52,"alliance_discount":0},"discount_type":"PERCENTAGE","description":"40% off","fixed_charges":{"gp":{"id":"","final_price":0}}}]</t>
  </si>
  <si>
    <t>2023-12-09 14:07:16</t>
  </si>
  <si>
    <t>2023-12-09 14:07:34</t>
  </si>
  <si>
    <t xml:space="preserve">Irfanirfu </t>
  </si>
  <si>
    <t>[{"id":"bf585ef3-1522-4981-b7a7-5e366761dbce","super_type":"SUPERTYPE_UNSPECIFIED","total_offer_discount":80,"discount_share":{"swiggy_discount":28,"store_discount":52,"alliance_discount":0},"discount_type":"PERCENTAGE","description":"40% off","fixed_charges":{"gp":{"id":"","final_price":0}}}]</t>
  </si>
  <si>
    <t>2023-12-02 13:46:34</t>
  </si>
  <si>
    <t>2023-12-02 13:46:52</t>
  </si>
  <si>
    <t>SIKENDAR KUMAR YADAV</t>
  </si>
  <si>
    <t>[{"id":"a17455c6-6016-48b5-95c0-933ae258bf5c","super_type":"SUPERTYPE_UNSPECIFIED","total_offer_discount":120,"discount_share":{"swiggy_discount":36,"store_discount":84,"alliance_discount":0},"discount_type":"PERCENTAGE","description":"60% off","fixed_charges":{"gp":{"id":"","final_price":0}}}]</t>
  </si>
  <si>
    <t>2023-11-26 13:41:26</t>
  </si>
  <si>
    <t>2023-11-26 13:41:50</t>
  </si>
  <si>
    <t>Rajasekar Reddy</t>
  </si>
  <si>
    <t>81810</t>
  </si>
  <si>
    <t>Tharavadu family restaurant</t>
  </si>
  <si>
    <t>1st FLOOR, NO.116/1, HOSUR MAIN ROAD, MANGAMMANAPALYA CROSS, BOMMANAHALLI , Bommenahalli , Bangalore South, Bangalore Urban, Karnataka-560068</t>
  </si>
  <si>
    <t>Hosur Main Road</t>
  </si>
  <si>
    <t>12.906146,77.629745</t>
  </si>
  <si>
    <t>Bommanahalli</t>
  </si>
  <si>
    <t>[{"id":"3be8626e-f3e3-4950-bcca-639767fe94cf","super_type":"SUPERTYPE_UNSPECIFIED","total_offer_discount":100,"discount_share":{"swiggy_discount":0,"store_discount":100,"alliance_discount":0},"discount_type":"FLAT","description":"FLAT100 off","fixed_charges":{"gp":{"id":"","final_price":0}}}]</t>
  </si>
  <si>
    <t>2023-11-23 14:43:51</t>
  </si>
  <si>
    <t>2023-11-23 14:44:09</t>
  </si>
  <si>
    <t>Jayadev Behera</t>
  </si>
  <si>
    <t>700113</t>
  </si>
  <si>
    <t>The Best Thickshakes Co</t>
  </si>
  <si>
    <t>1237, Sri Sai Crystal 17th cross, 5th Main Rd, HSR Layout, Bengaluru, Karnataka 560102</t>
  </si>
  <si>
    <t>5th Main Rd</t>
  </si>
  <si>
    <t>12.912028,77.632327</t>
  </si>
  <si>
    <t>HSR</t>
  </si>
  <si>
    <t>KINGK50</t>
  </si>
  <si>
    <t>[{"id":"03ca3c14-fff6-467e-ae52-d8c251b67a76","super_type":"SUPERTYPE_UNSPECIFIED","total_offer_discount":50.01,"discount_share":{"swiggy_discount":50.01,"store_discount":0,"alliance_discount":0},"discount_type":"FLAT","description":"Flat ₹200 off","fixed_charges":{"gp":{"id":"","final_price":0}},"applied_as":"SHADOW","base_offers":[{"offer_id":"92c138b0-4008-4a46-83f9-f28b6636521d","coupon_code":"WORLDCUPMANIA"}]},{"id":"92c138b0-4008-4a46-83f9-f28b6636521d","super_type":"SUPERTYPE_UNSPECIFIED","total_offer_discount":149.97,"discount_share":{"swiggy_discount":30.01,"store_discount":119.96,"alliance_discount":0},"discount_type":"FLAT","description":"FLAT150 off","fixed_charges":{"gp":{"id":"","final_price":0}}}]</t>
  </si>
  <si>
    <t>2023-11-15 19:00:06</t>
  </si>
  <si>
    <t>2023-11-15 19:00:24</t>
  </si>
  <si>
    <t>MOSTAFIZAR RAHAMAN</t>
  </si>
  <si>
    <t>2023-11-08 19:23:36</t>
  </si>
  <si>
    <t>2023-11-08 19:23:57</t>
  </si>
  <si>
    <t>Eresha</t>
  </si>
  <si>
    <t>244004</t>
  </si>
  <si>
    <t>Wow! Momo</t>
  </si>
  <si>
    <t>WOW MOMO NO1 120 14th main road 5th sector HSR layout Bangalore BTM layout BBMP south  Karnataka  560102</t>
  </si>
  <si>
    <t>5th sector</t>
  </si>
  <si>
    <t>12.9161961,77.6377847</t>
  </si>
  <si>
    <t>2023-11-07 19:16:54</t>
  </si>
  <si>
    <t>2023-11-07 19:17:27</t>
  </si>
  <si>
    <t xml:space="preserve">Hasnul Hoque Choudhury </t>
  </si>
  <si>
    <t>Doddakanneli Village</t>
  </si>
  <si>
    <t>12.9092988,77.6877346</t>
  </si>
  <si>
    <t>WORLDCUPMANIA</t>
  </si>
  <si>
    <t>[{"id":"fcc09378-6922-4b80-a505-f2cda5e1f89c","super_type":"SUPERTYPE_UNSPECIFIED","total_offer_discount":150,"discount_share":{"swiggy_discount":75,"store_discount":75,"alliance_discount":0},"discount_type":"FLAT","description":"FLAT150 off","fixed_charges":{"gp":{"id":"","final_price":0}}}]</t>
  </si>
  <si>
    <t>2023-11-05 11:25:39</t>
  </si>
  <si>
    <t>2023-11-05 11:25:54</t>
  </si>
  <si>
    <t>SAYAD SAHABUDDIN ALLI</t>
  </si>
  <si>
    <t>12.91183127,77.64382903</t>
  </si>
  <si>
    <t>[{"id":"078f55cb-bc8e-4ef0-bdc1-3980cdc6873c","super_type":"SUPERTYPE_UNSPECIFIED","total_offer_discount":150,"discount_share":{"swiggy_discount":45,"store_discount":105,"alliance_discount":0},"discount_type":"FLAT","description":"FLAT150 off","fixed_charges":{"gp":{"id":"","final_price":0}}}]</t>
  </si>
  <si>
    <t>2023-11-04 20:05:23</t>
  </si>
  <si>
    <t>2023-11-04 20:05:40</t>
  </si>
  <si>
    <t>Susanta Das</t>
  </si>
  <si>
    <t>2023-11-04 09:55:41</t>
  </si>
  <si>
    <t>2023-11-04 09:55:59</t>
  </si>
  <si>
    <t>MANAS KUMAR SETHI</t>
  </si>
  <si>
    <t>62430</t>
  </si>
  <si>
    <t>Dosa Chicken &amp; Tiffins</t>
  </si>
  <si>
    <t>235, 9th Main Road, Sector 7, HSR Layout, Sector 7, HSR Layout, Bengaluru, Karnataka 560102</t>
  </si>
  <si>
    <t>12.912837,77.63510900000006</t>
  </si>
  <si>
    <t>[{"id":"56bb9bfb-bb7d-4334-9bfa-0b49fa1625e7","super_type":"SUPERTYPE_UNSPECIFIED","total_offer_discount":50,"discount_share":{"swiggy_discount":25,"store_discount":25,"alliance_discount":0},"discount_type":"PERCENTAGE","description":"20% off","fixed_charges":{"gp":{"id":"","final_price":0}}}]</t>
  </si>
  <si>
    <t>2023-10-26 14:12:16</t>
  </si>
  <si>
    <t>2023-10-26 14:12:30</t>
  </si>
  <si>
    <t xml:space="preserve">danush </t>
  </si>
  <si>
    <t>2023-10-25 19:37:59</t>
  </si>
  <si>
    <t>2023-10-25 19:38:20</t>
  </si>
  <si>
    <t>Periyasami</t>
  </si>
  <si>
    <t>488099</t>
  </si>
  <si>
    <t>The Himalayan Momo Company</t>
  </si>
  <si>
    <t>73, 27 th Main Road,Phase 3, Agara Village,1 st Sector</t>
  </si>
  <si>
    <t>12.920751,77.650396</t>
  </si>
  <si>
    <t>LUNCHBINGE</t>
  </si>
  <si>
    <t>[{"id":"ea6bee14-f548-4089-84e7-e3203d403723","super_type":"SUPERTYPE_UNSPECIFIED","total_offer_discount":99.99,"discount_share":{"swiggy_discount":30,"store_discount":69.99,"alliance_discount":0},"discount_type":"FLAT","description":"FLAT100 off","fixed_charges":{"gp":{"id":"","final_price":0}}}]</t>
  </si>
  <si>
    <t>2023-10-24 11:14:20</t>
  </si>
  <si>
    <t>2023-10-24 11:14:46</t>
  </si>
  <si>
    <t>SATHISHIUMAR G S</t>
  </si>
  <si>
    <t>348329</t>
  </si>
  <si>
    <t>NO.1560/1435/33, K SOMASHEKHAR REDDY, KAIKONDRAHALLI, BANGALORE., Mahadevapura , B.B.M.P East, Karnataka-560035</t>
  </si>
  <si>
    <t>12.9075344,77.67582123</t>
  </si>
  <si>
    <t>UPIIntent</t>
  </si>
  <si>
    <t>[{"id":"3bd1bb74-de3a-4270-a72c-02c43dcf7ce4","super_type":"SUPERTYPE_UNSPECIFIED","total_offer_discount":150,"discount_share":{"swiggy_discount":75,"store_discount":75,"alliance_discount":0},"discount_type":"FLAT","description":"FLAT150 off","fixed_charges":{"gp":{"id":"","final_price":0}}}]</t>
  </si>
  <si>
    <t>2023-10-22 20:25:28</t>
  </si>
  <si>
    <t>2023-10-22 20:25:40</t>
  </si>
  <si>
    <t>RAHULB B</t>
  </si>
  <si>
    <t>[{"id":"8f719de5-eb1b-4866-993e-5d0ef85a8583","super_type":"SUPERTYPE_UNSPECIFIED","total_offer_discount":149.98000000000002,"discount_share":{"swiggy_discount":30,"store_discount":119.98,"alliance_discount":0},"discount_type":"FLAT","description":"FLAT150 off","fixed_charges":{"gp":{"id":"","final_price":0}}}]</t>
  </si>
  <si>
    <t>2023-10-22 11:17:21</t>
  </si>
  <si>
    <t>2023-10-22 11:17:36</t>
  </si>
  <si>
    <t xml:space="preserve">Rajesh das </t>
  </si>
  <si>
    <t>2023-10-21 18:54:35</t>
  </si>
  <si>
    <t>2023-10-21 18:54:52</t>
  </si>
  <si>
    <t>Dibyajit Phukan</t>
  </si>
  <si>
    <t>55737</t>
  </si>
  <si>
    <t>Kairali Restaurant</t>
  </si>
  <si>
    <t>32/21 near Maruti showroom outer ring road belladur Bangalore</t>
  </si>
  <si>
    <t>Outer Ring Road</t>
  </si>
  <si>
    <t>12.928069,77.679204</t>
  </si>
  <si>
    <t>TRYNEW-XL</t>
  </si>
  <si>
    <t>[{"id":"b78bb0be-4ca2-4b04-af1e-66e991460b12","super_type":"SUPERTYPE_UNSPECIFIED","total_offer_discount":62.099999999999994,"discount_share":{"swiggy_discount":18.63,"store_discount":43.47,"alliance_discount":0},"discount_type":"PERCENTAGE","description":"30% off","fixed_charges":{"gp":{"id":"","final_price":0}}}]</t>
  </si>
  <si>
    <t>2023-10-19 07:58:24</t>
  </si>
  <si>
    <t>2023-10-19 07:58:54</t>
  </si>
  <si>
    <t>Debasish Mahapatra</t>
  </si>
  <si>
    <t>201224</t>
  </si>
  <si>
    <t>Asha tiffins</t>
  </si>
  <si>
    <t>Asha Tiffins, 5th Main Road, Sector 7, HSR Layout, Bengaluru, Karnataka, India</t>
  </si>
  <si>
    <t>12.911856,77.6325489999999</t>
  </si>
  <si>
    <t>[{"id":"6ee62658-3aa8-497e-8248-ac41eba5d5ef","super_type":"SUPERTYPE_UNSPECIFIED","total_offer_discount":50,"discount_share":{"swiggy_discount":15,"store_discount":35,"alliance_discount":0},"discount_type":"PERCENTAGE","description":"20% off","fixed_charges":{"gp":{"id":"","final_price":0}}}]</t>
  </si>
  <si>
    <t>2023-10-09 18:36:35</t>
  </si>
  <si>
    <t>2023-10-09 18:36:50</t>
  </si>
  <si>
    <t>Anil Kumar Yadav</t>
  </si>
  <si>
    <t>709170</t>
  </si>
  <si>
    <t>Imperio Restaurant</t>
  </si>
  <si>
    <t>imperio restaurant , 495, 17th Cross Rd, Parangi Palaya, Sector 2, HSR Layout, Bengaluru, Karnataka</t>
  </si>
  <si>
    <t>Sector 2</t>
  </si>
  <si>
    <t>12.91181824,77.6495233</t>
  </si>
  <si>
    <t>2023-09-29 10:42:32</t>
  </si>
  <si>
    <t>2023-09-29 10:42:49</t>
  </si>
  <si>
    <t>Jaydev nath</t>
  </si>
  <si>
    <t>[{"id":"60385055-547d-4c3b-bef2-75f14c9cfb0d","super_type":"SUPERTYPE_UNSPECIFIED","total_offer_discount":119.99,"discount_share":{"swiggy_discount":36,"store_discount":83.99,"alliance_discount":0},"discount_type":"PERCENTAGE","description":"60% off","fixed_charges":{"gp":{"id":"","final_price":0}}}]</t>
  </si>
  <si>
    <t>2023-09-25 16:02:34</t>
  </si>
  <si>
    <t>2023-09-25 16:03:35</t>
  </si>
  <si>
    <t>Prakash Dalabehera</t>
  </si>
  <si>
    <t>2023-09-23 15:56:11</t>
  </si>
  <si>
    <t>2023-09-23 15:56:34</t>
  </si>
  <si>
    <t>Akshay Akshay</t>
  </si>
  <si>
    <t>567783</t>
  </si>
  <si>
    <t>HSR Freshcane Juice</t>
  </si>
  <si>
    <t>NO 2333, 24TH MAIN,17TH CROSS SECTOR NO 1, HSR LAYOUT, Bommanahalli , B.B.M.P South, , Karnataka, 560102</t>
  </si>
  <si>
    <t>12.912110164242,77.648900840197</t>
  </si>
  <si>
    <t>[{"id":"0c2819fc-1836-431a-8677-00e94af123b8","super_type":"SUPERTYPE_UNSPECIFIED","total_offer_discount":49.99,"discount_share":{"swiggy_discount":15,"store_discount":34.99,"alliance_discount":0},"discount_type":"PERCENTAGE","description":"20% off","fixed_charges":{"gp":{"id":"","final_price":0}}}]</t>
  </si>
  <si>
    <t>2023-09-19 12:11:47</t>
  </si>
  <si>
    <t>2023-09-19 12:12:10</t>
  </si>
  <si>
    <t>Santakar Santapriya</t>
  </si>
  <si>
    <t>2023-09-18 11:09:42</t>
  </si>
  <si>
    <t>2023-09-18 11:10:02</t>
  </si>
  <si>
    <t>Ramesh K</t>
  </si>
  <si>
    <t>SPECIALS</t>
  </si>
  <si>
    <t>[{"id":"73f920b6-b8d2-4b29-b4a9-72846208860d","super_type":"SUPERTYPE_UNSPECIFIED","total_offer_discount":80,"discount_share":{"swiggy_discount":32,"store_discount":48,"alliance_discount":0},"discount_type":"PERCENTAGE","description":"40% off","fixed_charges":{"gp":{"id":"","final_price":0}}}]</t>
  </si>
  <si>
    <t>2023-09-12 16:23:04</t>
  </si>
  <si>
    <t>2023-09-12 16:23:21</t>
  </si>
  <si>
    <t>Avverahalli Mallesh Basavesh</t>
  </si>
  <si>
    <t>PARTY</t>
  </si>
  <si>
    <t>[{"id":"1178c39c-98d9-4510-b5b7-122edfb7e4fc","super_type":"SUPERTYPE_UNSPECIFIED","total_offer_discount":138,"discount_share":{"swiggy_discount":0,"store_discount":138,"alliance_discount":0},"discount_type":"PERCENTAGE","description":"10% off","fixed_charges":{"gp":{"id":"","final_price":0}}}]</t>
  </si>
  <si>
    <t>2023-09-10 23:55:33</t>
  </si>
  <si>
    <t>2023-09-10 23:55:52</t>
  </si>
  <si>
    <t>Amitabh Kumar Pavan</t>
  </si>
  <si>
    <t>395574</t>
  </si>
  <si>
    <t>Plan B</t>
  </si>
  <si>
    <t>No 2324, 17th Cross Road, 1st Sector, HSR Layout, Bengaluru, Karnataka 560012</t>
  </si>
  <si>
    <t>12.912120631518187,77.65069759736535</t>
  </si>
  <si>
    <t>[{"id":"1178c39c-98d9-4510-b5b7-122edfb7e4fc","super_type":"SUPERTYPE_UNSPECIFIED","total_offer_discount":197,"discount_share":{"swiggy_discount":0,"store_discount":197,"alliance_discount":0},"discount_type":"PERCENTAGE","description":"10% off","fixed_charges":{"gp":{"id":"","final_price":0}}}]</t>
  </si>
  <si>
    <t>2023-09-08 21:49:47</t>
  </si>
  <si>
    <t>2023-09-08 21:50:07</t>
  </si>
  <si>
    <t>Monirul Hoque</t>
  </si>
  <si>
    <t>[{"id":"6ca97531-301c-4632-a58f-646d0afd9e01","super_type":"SUPERTYPE_UNSPECIFIED","total_offer_discount":39.8,"discount_share":{"swiggy_discount":0,"store_discount":39.8,"alliance_discount":0},"discount_type":"PERCENTAGE","description":"10% off","fixed_charges":{"gp":{"id":"","final_price":0}}}]</t>
  </si>
  <si>
    <t>2023-09-03 10:46:35</t>
  </si>
  <si>
    <t>Priyabrata Jena</t>
  </si>
  <si>
    <t>298606</t>
  </si>
  <si>
    <t>Drunken Monkey</t>
  </si>
  <si>
    <t>No.634 ground floor,5th cross,15th main ,4th block,kormangala (near chinmaya vidyalaya school),bangalore 560034</t>
  </si>
  <si>
    <t>4th Block</t>
  </si>
  <si>
    <t>12.934488559072948,77.62886978481599</t>
  </si>
  <si>
    <t>[{"id":"f80596b9-9db2-47d0-98be-dbdde4df4855","super_type":"SUPERTYPE_UNSPECIFIED","total_offer_discount":100,"discount_share":{"swiggy_discount":0,"store_discount":100,"alliance_discount":0},"discount_type":"PERCENTAGE","description":"50% off","fixed_charges":{"gp":{"id":"","final_price":0}}}]</t>
  </si>
  <si>
    <t>2023-09-02 21:21:56</t>
  </si>
  <si>
    <t>Manoj Kumar H M</t>
  </si>
  <si>
    <t>WEEKENDS</t>
  </si>
  <si>
    <t>[{"id":"e7ca910b-b1f7-4fca-81aa-29bb167a90b0","super_type":"SUPERTYPE_UNSPECIFIED","total_offer_discount":125,"discount_share":{"swiggy_discount":50,"store_discount":75,"alliance_discount":0},"discount_type":"FLAT","description":"Flat ₹125 off","fixed_charges":{"gp":{"id":"","final_price":0}}}]</t>
  </si>
  <si>
    <t>2023-09-02 13:29:33</t>
  </si>
  <si>
    <t>Raghunatha</t>
  </si>
  <si>
    <t>341895</t>
  </si>
  <si>
    <t>NO.35, 80FEET ROAD, HAL 3RD STAGE, BANGALORE  B.B.M.P East Karnataka 560075</t>
  </si>
  <si>
    <t>Indiranagar</t>
  </si>
  <si>
    <t>12.97107,77.647521</t>
  </si>
  <si>
    <t>2023-08-30 11:40:45</t>
  </si>
  <si>
    <t>Kumar R</t>
  </si>
  <si>
    <t>47603</t>
  </si>
  <si>
    <t>Truffles</t>
  </si>
  <si>
    <t>BUNDL TECHNOLOGIES PVT LTD, 1ST FLOOR, SITE NO.164, KHATA NO.684, PID NO: 658/668/684/1/164/1, BELLANDURVILLAGE, VARTHUR HOBLI, BANGALORE EAST TALUK  560103</t>
  </si>
  <si>
    <t>Green Glen Layout</t>
  </si>
  <si>
    <t>12.927332,77.669014</t>
  </si>
  <si>
    <t>2023-08-27 19:47:38</t>
  </si>
  <si>
    <t>Paresh Kumar Mohanty</t>
  </si>
  <si>
    <t>498292</t>
  </si>
  <si>
    <t>Istah - The Mediterranean Way</t>
  </si>
  <si>
    <t>88/1, Ward No, 66, Swiggy Koramangala Super Hub building, Sarjapur Road, Jakkasandra Village, Bangalore 560034</t>
  </si>
  <si>
    <t>12.925114189248388,77.6370633020997</t>
  </si>
  <si>
    <t>[{"id":"299a513a-6f7c-458c-86bb-38f205d6dbd9","super_type":"SUPERTYPE_UNSPECIFIED","total_offer_discount":109.5,"discount_share":{"swiggy_discount":21.9,"store_discount":87.6,"alliance_discount":0},"discount_type":"PERCENTAGE","description":"25% off","fixed_charges":{"gp":{"id":"","final_price":0}}}]</t>
  </si>
  <si>
    <t>2023-08-24 21:46:11</t>
  </si>
  <si>
    <t>405903</t>
  </si>
  <si>
    <t>The Thick Shake Factory</t>
  </si>
  <si>
    <t>#NO.104, SHIVALAYA, 17TH C MAIN ROAD, 5TH CROSS, KORAMANGALA, 5 TH BLOCK, BANGALORE,560095,Next to Acura Speciality Hospital,pivotal 4th floor. Karnataka - 560095</t>
  </si>
  <si>
    <t>12.935401,77.620598</t>
  </si>
  <si>
    <t>2023-08-15 22:04:33</t>
  </si>
  <si>
    <t>Asif Alli</t>
  </si>
  <si>
    <t>64914</t>
  </si>
  <si>
    <t>Kerala Panoor Restaurant</t>
  </si>
  <si>
    <t>Devarabeesanahalli Flyover, Devarabisanahalli, Bellandur, Bengaluru, Karnataka 560103</t>
  </si>
  <si>
    <t>Devarabisanahalli</t>
  </si>
  <si>
    <t>12.930556,77.68499199999997</t>
  </si>
  <si>
    <t>2023-08-13 12:07:31</t>
  </si>
  <si>
    <t>Govind Shrma</t>
  </si>
  <si>
    <t>6907</t>
  </si>
  <si>
    <t>FreshMenu</t>
  </si>
  <si>
    <t>[{"id":"6706ebc3-55e8-475e-aba5-bc6ec3ab1f6b","super_type":"SUPERTYPE_UNSPECIFIED","total_offer_discount":119.49000000000001,"discount_share":{"swiggy_discount":23.9,"store_discount":95.59,"alliance_discount":0},"discount_type":"PERCENTAGE","description":"25% off","fixed_charges":{"gp":{"id":"","final_price":0}}}]</t>
  </si>
  <si>
    <t>2023-08-09 14:42:32</t>
  </si>
  <si>
    <t>Suresh Mahal</t>
  </si>
  <si>
    <t>405912</t>
  </si>
  <si>
    <t>#87, 14TH MAIN ROAD, 4TH SECTOR, OPP: 
BDA COMPLEX, HSR LAYOUT BANGALORE-560102, Sangeetha mobile showroom Besment</t>
  </si>
  <si>
    <t>4th sector</t>
  </si>
  <si>
    <t>12.9125116379822,77.63817068570162</t>
  </si>
  <si>
    <t>2023-08-09 13:50:36</t>
  </si>
  <si>
    <t>12.9000771,77.640061</t>
  </si>
  <si>
    <t>[{"id":"0fefcb58-9f41-444e-9e59-52c620b546b5","super_type":"SUPERTYPE_UNSPECIFIED","total_offer_discount":100,"discount_share":{"swiggy_discount":25,"store_discount":75,"alliance_discount":0},"discount_type":"PERCENTAGE","description":"50% off","fixed_charges":{"gp":{"id":"","final_price":0}}}]</t>
  </si>
  <si>
    <t>2023-08-08 14:13:36</t>
  </si>
  <si>
    <t>Bimbadhar Sahoo</t>
  </si>
  <si>
    <t>394626</t>
  </si>
  <si>
    <t>La Pino'z Pizza</t>
  </si>
  <si>
    <t>La Pino'z Pizza, #11/50/3, Ambalipura, Village, Sarjapur - Marathahalli Rd, Bengaluru, Karnataka 560103</t>
  </si>
  <si>
    <t>Sarjapur - Marathahalli Rd</t>
  </si>
  <si>
    <t>12.919644,77.667114</t>
  </si>
  <si>
    <t>2023-08-06 11:26:46</t>
  </si>
  <si>
    <t>MUKESH SINGH</t>
  </si>
  <si>
    <t>12.927332,77.66901400000006</t>
  </si>
  <si>
    <t>2023-07-16 10:11:39</t>
  </si>
  <si>
    <t>Santosh Behera</t>
  </si>
  <si>
    <t>660675</t>
  </si>
  <si>
    <t>Cafe Amudham</t>
  </si>
  <si>
    <t>No. 146, 5th Block, Koramangala, Bangalore, BTM Layout , B.B.M.P South, Karnataka-560095</t>
  </si>
  <si>
    <t>5th Block Kormangala</t>
  </si>
  <si>
    <t>12.933842204939534,77.61976898008312</t>
  </si>
  <si>
    <t>2023-07-09 10:28:44</t>
  </si>
  <si>
    <t>Vivek Kumar</t>
  </si>
  <si>
    <t>416272</t>
  </si>
  <si>
    <t>Table for Tous</t>
  </si>
  <si>
    <t>146, 2nd Floor, HSR Layout, Sector 5, Ring Road, Bangalore, BTM Layout , B.B.M.P South, Karnataka - 560102</t>
  </si>
  <si>
    <t>4th Sector</t>
  </si>
  <si>
    <t>12.916462690900852,77.63573539639873</t>
  </si>
  <si>
    <t>[{"id":"981538f4-8587-489a-8b69-63a10fd9983e","super_type":"SUPERTYPE_UNSPECIFIED","total_offer_discount":35.8,"discount_share":{"swiggy_discount":7.16,"store_discount":28.64,"alliance_discount":0},"discount_type":"PERCENTAGE","description":"20% off","fixed_charges":{"gp":{"id":"","final_price":0}}}]</t>
  </si>
  <si>
    <t>2023-07-08 09:14:15</t>
  </si>
  <si>
    <t>Gnanam</t>
  </si>
  <si>
    <t>order_items.name</t>
  </si>
  <si>
    <t>order_items.is_veg</t>
  </si>
  <si>
    <t>order_items.quantity</t>
  </si>
  <si>
    <t>Category</t>
  </si>
  <si>
    <t>Michel (Chicken &amp; Mozza Sandwich)</t>
  </si>
  <si>
    <t>Supreme Boneless Chicken Biryani</t>
  </si>
  <si>
    <t>Mutton Bone Soup</t>
  </si>
  <si>
    <t>Mississippi Mud Pie</t>
  </si>
  <si>
    <t>Apple Crumble Pie</t>
  </si>
  <si>
    <t>Dark Chocolate Smoothie Bowl.</t>
  </si>
  <si>
    <t>Banana Peanutbutter Overnight Oats [350kcals][20gm protein]</t>
  </si>
  <si>
    <t>Chicken Kheema Lasagne</t>
  </si>
  <si>
    <t>Corn &amp; Pepper Lasagne</t>
  </si>
  <si>
    <t>Veg. Ramyun</t>
  </si>
  <si>
    <t>Chicken Katsu Ramyun</t>
  </si>
  <si>
    <t>Onion Rings</t>
  </si>
  <si>
    <t>Cajun Spiced Fries</t>
  </si>
  <si>
    <t>Special Pandi Curry Thali</t>
  </si>
  <si>
    <t>Overload Brownie [1 Piece]</t>
  </si>
  <si>
    <t>Chocolate Mousse Cup [100g]</t>
  </si>
  <si>
    <t>Millionaire Brownie [1 Piece]</t>
  </si>
  <si>
    <t>Koli Curry With Ney Kulu/Noolputtu</t>
  </si>
  <si>
    <t>Pepperoni Chicken Tikka lasagna</t>
  </si>
  <si>
    <t>Raspberry Dark Chocolate</t>
  </si>
  <si>
    <t>Dark Chocolate Chunk Sea Salt</t>
  </si>
  <si>
    <t>Smoothie Bowl Of The Day[35Gm Protein]</t>
  </si>
  <si>
    <t>Midnight Acai Delight[vegan][30-50gm Protein]</t>
  </si>
  <si>
    <t>Noolputtu (2 Pcs)</t>
  </si>
  <si>
    <t>Thith Pandi (Chilly Pork)</t>
  </si>
  <si>
    <t>Pressure Cooker Chicken Curry and Homestyle Amritsari Dal Meal</t>
  </si>
  <si>
    <t>Rasayan High Fiber Bowl[ 500gm 250kcals]</t>
  </si>
  <si>
    <t>Midnight Acai Delight [320Kcals] [25Gm-45Gm Protein]</t>
  </si>
  <si>
    <t>Wok Tossed Hakka Noodles</t>
  </si>
  <si>
    <t>Hugo (Fried Chicken &amp; Mozza Sandwich)</t>
  </si>
  <si>
    <t>Belgian Dark Chocolate Milkshake</t>
  </si>
  <si>
    <t>Chicken Fillet Burger Combo</t>
  </si>
  <si>
    <t>Single Lamb Cheese Burger</t>
  </si>
  <si>
    <t>Roasted Chicken Strip Sandwich</t>
  </si>
  <si>
    <t>B.M.T Sandwich</t>
  </si>
  <si>
    <t>High-Protein Chicken Omelette</t>
  </si>
  <si>
    <t>Chicken Pepper Dry Boneless</t>
  </si>
  <si>
    <t>Ferrero Magic</t>
  </si>
  <si>
    <t>Nutty Chocolate Sundae</t>
  </si>
  <si>
    <t>Melted Cheese Chicken Shawarma</t>
  </si>
  <si>
    <t>Nutella Cheese Cake</t>
  </si>
  <si>
    <t>Blueberry Cheese Cake</t>
  </si>
  <si>
    <t>Pork Chashu Ramyun</t>
  </si>
  <si>
    <t>Chocolate Hazelnut Cake (Nutella Cake) (Eggless)</t>
  </si>
  <si>
    <t>Tandoori Chicken Tikka Sandwich Guiltfree</t>
  </si>
  <si>
    <t>Mint Choco Chip Ice Cream [125 Ml]</t>
  </si>
  <si>
    <t>Salted Caramel Ice Cream [125 Ml]</t>
  </si>
  <si>
    <t>Lebenese Shawarma</t>
  </si>
  <si>
    <t>Mexican Green Wave Pizza</t>
  </si>
  <si>
    <t>Naked Nutella Waffle</t>
  </si>
  <si>
    <t>Salted Caramel Brownie</t>
  </si>
  <si>
    <t>Nutella Stuffed Chocochips Cookie(1 Pc)</t>
  </si>
  <si>
    <t>Chicken Kheema Cheese Paratha</t>
  </si>
  <si>
    <t>Aloo Cheese Paratha</t>
  </si>
  <si>
    <t>Big Spicy Paneer Wrap</t>
  </si>
  <si>
    <t>Trapper Creek (Buff)</t>
  </si>
  <si>
    <t>Paris Delice (Buff)</t>
  </si>
  <si>
    <t>Tandoori Chicken Tikka Cheese Pull Sandwich</t>
  </si>
  <si>
    <t>Spicy Chick'n Cheese</t>
  </si>
  <si>
    <t>Chicken Varattiyathu</t>
  </si>
  <si>
    <t>Idiyappam</t>
  </si>
  <si>
    <t>Peanut Butter &amp; Snicker Thickshake</t>
  </si>
  <si>
    <t>Choose Your Combo</t>
  </si>
  <si>
    <t>Appam (1pc)</t>
  </si>
  <si>
    <t>Tender Coconut Pudding</t>
  </si>
  <si>
    <t>Chicken Varutharacha Curry</t>
  </si>
  <si>
    <t>Chicken Darjeeling Steam Momo</t>
  </si>
  <si>
    <t>Chicken Fried Momo Mania</t>
  </si>
  <si>
    <t>Cheese Ramyun</t>
  </si>
  <si>
    <t>Dosa (2 Pcs) Chicken Curry</t>
  </si>
  <si>
    <t>Grilled Spicy Lamb Burger</t>
  </si>
  <si>
    <t>Himalayan Steamed Chicken Momos</t>
  </si>
  <si>
    <t>Ghee Gulab Jamun (2 Pcs)</t>
  </si>
  <si>
    <t>Garlic Mayo</t>
  </si>
  <si>
    <t>Nool Porota (1pc)</t>
  </si>
  <si>
    <t>Meat Curry</t>
  </si>
  <si>
    <t>Idli (2 Pcs)</t>
  </si>
  <si>
    <t>Cold Coffee (275ml)</t>
  </si>
  <si>
    <t>Masala Dosa</t>
  </si>
  <si>
    <t>Boneless Chicken Manchurian</t>
  </si>
  <si>
    <t>Chicken Kheema Paratha</t>
  </si>
  <si>
    <t>Chicken &amp; Egg Pothichoru</t>
  </si>
  <si>
    <t>Sugarcane With Ginger</t>
  </si>
  <si>
    <t>Prawns Pepper Dry</t>
  </si>
  <si>
    <t>12" Badmash Pizza</t>
  </si>
  <si>
    <t>Cajun Corn Kernels</t>
  </si>
  <si>
    <t>Fish Fingers</t>
  </si>
  <si>
    <t>Blue Berry Cheese Cake</t>
  </si>
  <si>
    <t>Firecracker Wings</t>
  </si>
  <si>
    <t>Orange Dynamite Wings</t>
  </si>
  <si>
    <t>Creamy Buffalo</t>
  </si>
  <si>
    <t>Chocolate And Love Smoothie Bowl</t>
  </si>
  <si>
    <t>Calvin Eats Nutella</t>
  </si>
  <si>
    <t>Trapper Creek</t>
  </si>
  <si>
    <t>Spaghetti Carbonara Chicken</t>
  </si>
  <si>
    <t>Istah's Chicken Shawarma in Rumali</t>
  </si>
  <si>
    <t>Belgian Chocolate Milk Shake</t>
  </si>
  <si>
    <t>Panoor Special Chicken Leg Fry</t>
  </si>
  <si>
    <t>Chicken Kothu Parotta</t>
  </si>
  <si>
    <t>Roasted Garlic Chicken Soup</t>
  </si>
  <si>
    <t>Honey Chicken Peppers</t>
  </si>
  <si>
    <t>Chicken Spaghetti Al Forno</t>
  </si>
  <si>
    <t>Belgian Chocolate Thick Shake</t>
  </si>
  <si>
    <t>Peanut Butter Indulgence Thick Shake</t>
  </si>
  <si>
    <t>Americano Pasta Non-veg</t>
  </si>
  <si>
    <t>Non Veg Club S/w</t>
  </si>
  <si>
    <t>Classic Chicken Steak</t>
  </si>
  <si>
    <t xml:space="preserve">Open Butter Masala Dosa </t>
  </si>
  <si>
    <t>Dark Chocolate Cake [350 Grams, Serves 3]</t>
  </si>
  <si>
    <t>Japanese Cotton Soft Cheesecake [125 Grams]</t>
  </si>
  <si>
    <t>Coupon_Code_Updated</t>
  </si>
  <si>
    <t>restaurant_name_updated</t>
  </si>
  <si>
    <t>restaurant_area_name_updated</t>
  </si>
  <si>
    <t>BTM</t>
  </si>
  <si>
    <t>Sarjapur</t>
  </si>
  <si>
    <t>Hosapalya</t>
  </si>
  <si>
    <t>Discount</t>
  </si>
  <si>
    <t>Time</t>
  </si>
  <si>
    <t>Order_Date</t>
  </si>
  <si>
    <t>Weekday</t>
  </si>
  <si>
    <t>Dynamic Named Range</t>
  </si>
  <si>
    <t>1. Convert to Table</t>
  </si>
  <si>
    <t>2. Using Offset</t>
  </si>
  <si>
    <t>Total Spend</t>
  </si>
  <si>
    <t>Total Orders</t>
  </si>
  <si>
    <t>AOV</t>
  </si>
  <si>
    <t>Total Savings</t>
  </si>
  <si>
    <t>Sum of net_total</t>
  </si>
  <si>
    <t>Count of order_id</t>
  </si>
  <si>
    <t>Average of net_total</t>
  </si>
  <si>
    <t>Sum of Discount</t>
  </si>
  <si>
    <t>Sum of free_delivery_discount_hit</t>
  </si>
  <si>
    <t>Preferred Food item</t>
  </si>
  <si>
    <t>Preferred Restaurant</t>
  </si>
  <si>
    <t>Preferred Payment Mode</t>
  </si>
  <si>
    <t>Row Labels</t>
  </si>
  <si>
    <t>Grand Total</t>
  </si>
  <si>
    <t>Avg Delivery Time</t>
  </si>
  <si>
    <t>Avg Delivery Distance</t>
  </si>
  <si>
    <t>Average of delivery_time_in_seconds</t>
  </si>
  <si>
    <t>Mins</t>
  </si>
  <si>
    <t>Average of restaurant_customer_distance</t>
  </si>
  <si>
    <t>Which discounts(Coupon Codes) usually prefer to Order?</t>
  </si>
  <si>
    <t>No Coupon Applied</t>
  </si>
  <si>
    <t>MOM Orders/Revenue</t>
  </si>
  <si>
    <t>2024</t>
  </si>
  <si>
    <t>Qtr1</t>
  </si>
  <si>
    <t>Qtr2</t>
  </si>
  <si>
    <t>Jan</t>
  </si>
  <si>
    <t>Feb</t>
  </si>
  <si>
    <t>Mar</t>
  </si>
  <si>
    <t>Apr</t>
  </si>
  <si>
    <t>May</t>
  </si>
  <si>
    <t>Veg vs Non Veg Orders</t>
  </si>
  <si>
    <t>Non_Veg</t>
  </si>
  <si>
    <t>Veg</t>
  </si>
  <si>
    <t>Delivered vs Cancelled Orders</t>
  </si>
  <si>
    <t>--&gt; Slicer</t>
  </si>
  <si>
    <t>When do you order?</t>
  </si>
  <si>
    <t>1. Which day of the week.</t>
  </si>
  <si>
    <t>2. What time of the data</t>
  </si>
  <si>
    <t>Sunday</t>
  </si>
  <si>
    <t>Monday</t>
  </si>
  <si>
    <t>Tuesday</t>
  </si>
  <si>
    <t>Wednesday</t>
  </si>
  <si>
    <t>Thursday</t>
  </si>
  <si>
    <t>Friday</t>
  </si>
  <si>
    <t>Saturday</t>
  </si>
  <si>
    <t>Day_Seg</t>
  </si>
  <si>
    <t>Early Morning</t>
  </si>
  <si>
    <t>Morning</t>
  </si>
  <si>
    <t>Late Morning</t>
  </si>
  <si>
    <t>Afternoon</t>
  </si>
  <si>
    <t>Evening</t>
  </si>
  <si>
    <t>Night</t>
  </si>
  <si>
    <t>Hrs</t>
  </si>
  <si>
    <t>Segments</t>
  </si>
  <si>
    <t>Rain_mode_updated</t>
  </si>
  <si>
    <t>SWIGGY ORDERS</t>
  </si>
  <si>
    <t>By default all the cells are locked in excel and protection is applied on locked cells</t>
  </si>
  <si>
    <t>Unprotected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</si>
</sst>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7" formatCode="hh:mm\ "/>
    <numFmt numFmtId="169" formatCode="\ &quot;INR&quot;\ 0.00,\ &quot;K&quot;"/>
    <numFmt numFmtId="170" formatCode="&quot;INR&quot;\ 0.00"/>
    <numFmt numFmtId="171" formatCode="0.00\ &quot;mins&quot;"/>
    <numFmt numFmtId="172" formatCode="0.00\ &quot;km&quot;"/>
  </numFmts>
  <fonts count="4" x14ac:knownFonts="1">
    <font>
      <sz val="11"/>
      <color theme="1"/>
      <name val="Calibri"/>
      <family val="2"/>
      <scheme val="minor"/>
    </font>
    <font>
      <b/>
      <sz val="11"/>
      <color theme="1"/>
      <name val="Calibri"/>
      <family val="2"/>
      <scheme val="minor"/>
    </font>
    <font>
      <b/>
      <sz val="11"/>
      <color theme="1" tint="4.9989318521683403E-2"/>
      <name val="Calibri"/>
      <family val="2"/>
      <scheme val="minor"/>
    </font>
    <font>
      <b/>
      <u/>
      <sz val="20"/>
      <color theme="1"/>
      <name val="Calibri"/>
      <family val="2"/>
      <scheme val="minor"/>
    </font>
  </fonts>
  <fills count="8">
    <fill>
      <patternFill patternType="none"/>
    </fill>
    <fill>
      <patternFill patternType="gray125"/>
    </fill>
    <fill>
      <patternFill patternType="solid">
        <fgColor rgb="FFFFFF00"/>
        <bgColor theme="9"/>
      </patternFill>
    </fill>
    <fill>
      <patternFill patternType="solid">
        <fgColor theme="0"/>
        <bgColor theme="9" tint="0.79998168889431442"/>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s>
  <borders count="4">
    <border>
      <left/>
      <right/>
      <top/>
      <bottom/>
      <diagonal/>
    </border>
    <border>
      <left/>
      <right/>
      <top style="thin">
        <color theme="9" tint="0.39997558519241921"/>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1" fontId="2" fillId="2" borderId="0" xfId="0" applyNumberFormat="1" applyFont="1" applyFill="1"/>
    <xf numFmtId="0" fontId="2" fillId="2" borderId="0" xfId="0" applyFont="1" applyFill="1"/>
    <xf numFmtId="1" fontId="0" fillId="3" borderId="1" xfId="0" applyNumberFormat="1" applyFill="1" applyBorder="1"/>
    <xf numFmtId="0" fontId="0" fillId="3" borderId="1" xfId="0" applyFill="1" applyBorder="1"/>
    <xf numFmtId="1" fontId="0" fillId="4" borderId="1" xfId="0" applyNumberFormat="1" applyFill="1" applyBorder="1"/>
    <xf numFmtId="0" fontId="0" fillId="4" borderId="1" xfId="0" applyFill="1" applyBorder="1"/>
    <xf numFmtId="1" fontId="0" fillId="4" borderId="2" xfId="0" applyNumberFormat="1" applyFill="1" applyBorder="1"/>
    <xf numFmtId="0" fontId="0" fillId="4" borderId="2" xfId="0" applyFill="1" applyBorder="1"/>
    <xf numFmtId="0" fontId="1" fillId="5" borderId="0" xfId="0" applyFont="1" applyFill="1"/>
    <xf numFmtId="14" fontId="0" fillId="0" borderId="0" xfId="0" applyNumberFormat="1"/>
    <xf numFmtId="167" fontId="0" fillId="0" borderId="0" xfId="0" applyNumberFormat="1"/>
    <xf numFmtId="0" fontId="0" fillId="5" borderId="0" xfId="0" applyFill="1"/>
    <xf numFmtId="0" fontId="2" fillId="5" borderId="0" xfId="0" applyFont="1" applyFill="1"/>
    <xf numFmtId="0" fontId="2" fillId="6" borderId="0" xfId="0" applyFont="1" applyFill="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quotePrefix="1"/>
    <xf numFmtId="0" fontId="0" fillId="0" borderId="3" xfId="0" applyBorder="1"/>
    <xf numFmtId="0" fontId="3" fillId="7" borderId="0" xfId="0" applyFont="1" applyFill="1" applyAlignment="1">
      <alignment horizontal="center"/>
    </xf>
    <xf numFmtId="169" fontId="0" fillId="0" borderId="0" xfId="0" applyNumberFormat="1" applyAlignment="1">
      <alignment horizontal="left"/>
    </xf>
    <xf numFmtId="170" fontId="0" fillId="0" borderId="0" xfId="0" applyNumberFormat="1" applyAlignment="1">
      <alignment horizontal="left"/>
    </xf>
    <xf numFmtId="171" fontId="0" fillId="0" borderId="0" xfId="0" applyNumberFormat="1" applyAlignment="1">
      <alignment horizontal="left"/>
    </xf>
    <xf numFmtId="172" fontId="0" fillId="0" borderId="0" xfId="0" applyNumberFormat="1" applyAlignment="1">
      <alignment horizontal="left"/>
    </xf>
    <xf numFmtId="0" fontId="0" fillId="5" borderId="0" xfId="0" applyFill="1" applyProtection="1">
      <protection locked="0"/>
    </xf>
  </cellXfs>
  <cellStyles count="1">
    <cellStyle name="Normal" xfId="0" builtinId="0"/>
  </cellStyles>
  <dxfs count="13">
    <dxf>
      <numFmt numFmtId="0" formatCode="General"/>
    </dxf>
    <dxf>
      <numFmt numFmtId="0" formatCode="General"/>
    </dxf>
    <dxf>
      <font>
        <b/>
        <i val="0"/>
        <strike val="0"/>
        <condense val="0"/>
        <extend val="0"/>
        <outline val="0"/>
        <shadow val="0"/>
        <u val="none"/>
        <vertAlign val="baseline"/>
        <sz val="11"/>
        <color theme="1" tint="4.9989318521683403E-2"/>
        <name val="Calibri"/>
        <family val="2"/>
        <scheme val="minor"/>
      </font>
      <fill>
        <patternFill patternType="solid">
          <fgColor indexed="64"/>
          <bgColor theme="5" tint="0.79998168889431442"/>
        </patternFill>
      </fill>
    </dxf>
    <dxf>
      <numFmt numFmtId="167" formatCode="hh:mm\ "/>
    </dxf>
    <dxf>
      <numFmt numFmtId="19" formatCode="m/d/yyyy"/>
    </dxf>
    <dxf>
      <fill>
        <patternFill patternType="solid">
          <fgColor theme="9" tint="0.79998168889431442"/>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numFmt numFmtId="1" formatCode="0"/>
      <fill>
        <patternFill patternType="solid">
          <fgColor indexed="64"/>
          <bgColor theme="0"/>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rder>
    </dxf>
    <dxf>
      <fill>
        <patternFill patternType="solid">
          <fgColor indexed="64"/>
          <bgColor theme="0"/>
        </patternFill>
      </fill>
    </dxf>
    <dxf>
      <font>
        <b/>
        <i val="0"/>
        <strike val="0"/>
        <condense val="0"/>
        <extend val="0"/>
        <outline val="0"/>
        <shadow val="0"/>
        <u val="none"/>
        <vertAlign val="baseline"/>
        <sz val="11"/>
        <color theme="1" tint="4.9989318521683403E-2"/>
        <name val="Calibri"/>
        <family val="2"/>
        <scheme val="minor"/>
      </font>
      <fill>
        <patternFill patternType="solid">
          <fgColor theme="9"/>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Prep'!$C$25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Prep'!$B$26:$B$35</c:f>
              <c:strCache>
                <c:ptCount val="9"/>
                <c:pt idx="0">
                  <c:v>SWIGGYIT</c:v>
                </c:pt>
                <c:pt idx="1">
                  <c:v>No Coupon Applied</c:v>
                </c:pt>
                <c:pt idx="2">
                  <c:v>TRYNEW</c:v>
                </c:pt>
                <c:pt idx="3">
                  <c:v>MDM150</c:v>
                </c:pt>
                <c:pt idx="4">
                  <c:v>JUMBO</c:v>
                </c:pt>
                <c:pt idx="5">
                  <c:v>MISSEDYOU</c:v>
                </c:pt>
                <c:pt idx="6">
                  <c:v>FLATDEAL</c:v>
                </c:pt>
                <c:pt idx="7">
                  <c:v>DEALICIOUS</c:v>
                </c:pt>
                <c:pt idx="8">
                  <c:v>FLAT100</c:v>
                </c:pt>
              </c:strCache>
            </c:strRef>
          </c:cat>
          <c:val>
            <c:numRef>
              <c:f>'Data Prep'!$C$26:$C$35</c:f>
              <c:numCache>
                <c:formatCode>0.00%</c:formatCode>
                <c:ptCount val="9"/>
                <c:pt idx="0">
                  <c:v>0.37096774193548387</c:v>
                </c:pt>
                <c:pt idx="1">
                  <c:v>0.22580645161290322</c:v>
                </c:pt>
                <c:pt idx="2">
                  <c:v>0.11290322580645161</c:v>
                </c:pt>
                <c:pt idx="3">
                  <c:v>9.6774193548387094E-2</c:v>
                </c:pt>
                <c:pt idx="4">
                  <c:v>4.8387096774193547E-2</c:v>
                </c:pt>
                <c:pt idx="5">
                  <c:v>4.8387096774193547E-2</c:v>
                </c:pt>
                <c:pt idx="6">
                  <c:v>3.2258064516129031E-2</c:v>
                </c:pt>
                <c:pt idx="7">
                  <c:v>3.2258064516129031E-2</c:v>
                </c:pt>
                <c:pt idx="8">
                  <c:v>3.2258064516129031E-2</c:v>
                </c:pt>
              </c:numCache>
            </c:numRef>
          </c:val>
          <c:extLst>
            <c:ext xmlns:c16="http://schemas.microsoft.com/office/drawing/2014/chart" uri="{C3380CC4-5D6E-409C-BE32-E72D297353CC}">
              <c16:uniqueId val="{00000000-6689-43C1-AB0B-0E09C4916E59}"/>
            </c:ext>
          </c:extLst>
        </c:ser>
        <c:dLbls>
          <c:dLblPos val="outEnd"/>
          <c:showLegendKey val="0"/>
          <c:showVal val="1"/>
          <c:showCatName val="0"/>
          <c:showSerName val="0"/>
          <c:showPercent val="0"/>
          <c:showBubbleSize val="0"/>
        </c:dLbls>
        <c:gapWidth val="182"/>
        <c:axId val="432483215"/>
        <c:axId val="432485135"/>
      </c:barChart>
      <c:catAx>
        <c:axId val="4324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85135"/>
        <c:crosses val="autoZero"/>
        <c:auto val="1"/>
        <c:lblAlgn val="ctr"/>
        <c:lblOffset val="100"/>
        <c:noMultiLvlLbl val="0"/>
      </c:catAx>
      <c:valAx>
        <c:axId val="4324851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Prep!MOM Trend Analysis</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'Data Prep'!$D$51</c:f>
              <c:strCache>
                <c:ptCount val="1"/>
                <c:pt idx="0">
                  <c:v>Sum of net_total</c:v>
                </c:pt>
              </c:strCache>
            </c:strRef>
          </c:tx>
          <c:spPr>
            <a:ln w="28575" cap="rnd">
              <a:solidFill>
                <a:schemeClr val="accent2"/>
              </a:solidFill>
              <a:round/>
            </a:ln>
            <a:effectLst/>
          </c:spPr>
          <c:marker>
            <c:symbol val="none"/>
          </c:marker>
          <c:cat>
            <c:multiLvlStrRef>
              <c:f>'Data Prep'!$B$52:$B$60</c:f>
              <c:multiLvlStrCache>
                <c:ptCount val="5"/>
                <c:lvl>
                  <c:pt idx="0">
                    <c:v>Jan</c:v>
                  </c:pt>
                  <c:pt idx="1">
                    <c:v>Feb</c:v>
                  </c:pt>
                  <c:pt idx="2">
                    <c:v>Mar</c:v>
                  </c:pt>
                  <c:pt idx="3">
                    <c:v>Apr</c:v>
                  </c:pt>
                  <c:pt idx="4">
                    <c:v>May</c:v>
                  </c:pt>
                </c:lvl>
                <c:lvl>
                  <c:pt idx="0">
                    <c:v>Qtr1</c:v>
                  </c:pt>
                  <c:pt idx="3">
                    <c:v>Qtr2</c:v>
                  </c:pt>
                </c:lvl>
                <c:lvl>
                  <c:pt idx="0">
                    <c:v>2024</c:v>
                  </c:pt>
                </c:lvl>
              </c:multiLvlStrCache>
            </c:multiLvlStrRef>
          </c:cat>
          <c:val>
            <c:numRef>
              <c:f>'Data Prep'!$D$52:$D$60</c:f>
              <c:numCache>
                <c:formatCode>General</c:formatCode>
                <c:ptCount val="5"/>
                <c:pt idx="0">
                  <c:v>4160</c:v>
                </c:pt>
                <c:pt idx="1">
                  <c:v>3580</c:v>
                </c:pt>
                <c:pt idx="2">
                  <c:v>3680</c:v>
                </c:pt>
                <c:pt idx="3">
                  <c:v>3778</c:v>
                </c:pt>
                <c:pt idx="4">
                  <c:v>10369</c:v>
                </c:pt>
              </c:numCache>
            </c:numRef>
          </c:val>
          <c:smooth val="0"/>
          <c:extLst>
            <c:ext xmlns:c16="http://schemas.microsoft.com/office/drawing/2014/chart" uri="{C3380CC4-5D6E-409C-BE32-E72D297353CC}">
              <c16:uniqueId val="{00000001-99E5-4E76-A1E0-A28F0623A2A1}"/>
            </c:ext>
          </c:extLst>
        </c:ser>
        <c:dLbls>
          <c:showLegendKey val="0"/>
          <c:showVal val="0"/>
          <c:showCatName val="0"/>
          <c:showSerName val="0"/>
          <c:showPercent val="0"/>
          <c:showBubbleSize val="0"/>
        </c:dLbls>
        <c:marker val="1"/>
        <c:smooth val="0"/>
        <c:axId val="551698271"/>
        <c:axId val="551684351"/>
      </c:lineChart>
      <c:lineChart>
        <c:grouping val="standard"/>
        <c:varyColors val="0"/>
        <c:ser>
          <c:idx val="0"/>
          <c:order val="0"/>
          <c:tx>
            <c:strRef>
              <c:f>'Data Prep'!$C$51</c:f>
              <c:strCache>
                <c:ptCount val="1"/>
                <c:pt idx="0">
                  <c:v>Count of order_id</c:v>
                </c:pt>
              </c:strCache>
            </c:strRef>
          </c:tx>
          <c:spPr>
            <a:ln w="28575" cap="rnd">
              <a:solidFill>
                <a:schemeClr val="accent1"/>
              </a:solidFill>
              <a:round/>
            </a:ln>
            <a:effectLst/>
          </c:spPr>
          <c:marker>
            <c:symbol val="none"/>
          </c:marker>
          <c:cat>
            <c:multiLvlStrRef>
              <c:f>'Data Prep'!$B$52:$B$60</c:f>
              <c:multiLvlStrCache>
                <c:ptCount val="5"/>
                <c:lvl>
                  <c:pt idx="0">
                    <c:v>Jan</c:v>
                  </c:pt>
                  <c:pt idx="1">
                    <c:v>Feb</c:v>
                  </c:pt>
                  <c:pt idx="2">
                    <c:v>Mar</c:v>
                  </c:pt>
                  <c:pt idx="3">
                    <c:v>Apr</c:v>
                  </c:pt>
                  <c:pt idx="4">
                    <c:v>May</c:v>
                  </c:pt>
                </c:lvl>
                <c:lvl>
                  <c:pt idx="0">
                    <c:v>Qtr1</c:v>
                  </c:pt>
                  <c:pt idx="3">
                    <c:v>Qtr2</c:v>
                  </c:pt>
                </c:lvl>
                <c:lvl>
                  <c:pt idx="0">
                    <c:v>2024</c:v>
                  </c:pt>
                </c:lvl>
              </c:multiLvlStrCache>
            </c:multiLvlStrRef>
          </c:cat>
          <c:val>
            <c:numRef>
              <c:f>'Data Prep'!$C$52:$C$60</c:f>
              <c:numCache>
                <c:formatCode>General</c:formatCode>
                <c:ptCount val="5"/>
                <c:pt idx="0">
                  <c:v>8</c:v>
                </c:pt>
                <c:pt idx="1">
                  <c:v>11</c:v>
                </c:pt>
                <c:pt idx="2">
                  <c:v>10</c:v>
                </c:pt>
                <c:pt idx="3">
                  <c:v>10</c:v>
                </c:pt>
                <c:pt idx="4">
                  <c:v>23</c:v>
                </c:pt>
              </c:numCache>
            </c:numRef>
          </c:val>
          <c:smooth val="0"/>
          <c:extLst>
            <c:ext xmlns:c16="http://schemas.microsoft.com/office/drawing/2014/chart" uri="{C3380CC4-5D6E-409C-BE32-E72D297353CC}">
              <c16:uniqueId val="{00000000-99E5-4E76-A1E0-A28F0623A2A1}"/>
            </c:ext>
          </c:extLst>
        </c:ser>
        <c:dLbls>
          <c:showLegendKey val="0"/>
          <c:showVal val="0"/>
          <c:showCatName val="0"/>
          <c:showSerName val="0"/>
          <c:showPercent val="0"/>
          <c:showBubbleSize val="0"/>
        </c:dLbls>
        <c:marker val="1"/>
        <c:smooth val="0"/>
        <c:axId val="560378831"/>
        <c:axId val="560381711"/>
      </c:lineChart>
      <c:catAx>
        <c:axId val="5516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84351"/>
        <c:crosses val="autoZero"/>
        <c:auto val="1"/>
        <c:lblAlgn val="ctr"/>
        <c:lblOffset val="100"/>
        <c:noMultiLvlLbl val="0"/>
      </c:catAx>
      <c:valAx>
        <c:axId val="55168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98271"/>
        <c:crosses val="autoZero"/>
        <c:crossBetween val="between"/>
      </c:valAx>
      <c:valAx>
        <c:axId val="56038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8831"/>
        <c:crosses val="max"/>
        <c:crossBetween val="between"/>
      </c:valAx>
      <c:catAx>
        <c:axId val="560378831"/>
        <c:scaling>
          <c:orientation val="minMax"/>
        </c:scaling>
        <c:delete val="1"/>
        <c:axPos val="b"/>
        <c:numFmt formatCode="General" sourceLinked="1"/>
        <c:majorTickMark val="out"/>
        <c:minorTickMark val="none"/>
        <c:tickLblPos val="nextTo"/>
        <c:crossAx val="5603817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 Prep'!$C$77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Prep'!$B$78:$B$80</c:f>
              <c:strCache>
                <c:ptCount val="2"/>
                <c:pt idx="0">
                  <c:v>Non_Veg</c:v>
                </c:pt>
                <c:pt idx="1">
                  <c:v>Veg</c:v>
                </c:pt>
              </c:strCache>
            </c:strRef>
          </c:cat>
          <c:val>
            <c:numRef>
              <c:f>'Data Prep'!$C$78:$C$80</c:f>
              <c:numCache>
                <c:formatCode>0.00%</c:formatCode>
                <c:ptCount val="2"/>
                <c:pt idx="0">
                  <c:v>0.6</c:v>
                </c:pt>
                <c:pt idx="1">
                  <c:v>0.4</c:v>
                </c:pt>
              </c:numCache>
            </c:numRef>
          </c:val>
          <c:extLst>
            <c:ext xmlns:c16="http://schemas.microsoft.com/office/drawing/2014/chart" uri="{C3380CC4-5D6E-409C-BE32-E72D297353CC}">
              <c16:uniqueId val="{00000000-45D0-4B6E-A1CB-8BF439F349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Prep'!$D$100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Prep'!$C$101:$C$108</c:f>
              <c:strCache>
                <c:ptCount val="7"/>
                <c:pt idx="0">
                  <c:v>Tuesday</c:v>
                </c:pt>
                <c:pt idx="1">
                  <c:v>Saturday</c:v>
                </c:pt>
                <c:pt idx="2">
                  <c:v>Monday</c:v>
                </c:pt>
                <c:pt idx="3">
                  <c:v>Sunday</c:v>
                </c:pt>
                <c:pt idx="4">
                  <c:v>Friday</c:v>
                </c:pt>
                <c:pt idx="5">
                  <c:v>Thursday</c:v>
                </c:pt>
                <c:pt idx="6">
                  <c:v>Wednesday</c:v>
                </c:pt>
              </c:strCache>
            </c:strRef>
          </c:cat>
          <c:val>
            <c:numRef>
              <c:f>'Data Prep'!$D$101:$D$108</c:f>
              <c:numCache>
                <c:formatCode>0.00%</c:formatCode>
                <c:ptCount val="7"/>
                <c:pt idx="0">
                  <c:v>0.24193548387096775</c:v>
                </c:pt>
                <c:pt idx="1">
                  <c:v>0.17741935483870969</c:v>
                </c:pt>
                <c:pt idx="2">
                  <c:v>0.16129032258064516</c:v>
                </c:pt>
                <c:pt idx="3">
                  <c:v>0.14516129032258066</c:v>
                </c:pt>
                <c:pt idx="4">
                  <c:v>0.11290322580645161</c:v>
                </c:pt>
                <c:pt idx="5">
                  <c:v>8.0645161290322578E-2</c:v>
                </c:pt>
                <c:pt idx="6">
                  <c:v>8.0645161290322578E-2</c:v>
                </c:pt>
              </c:numCache>
            </c:numRef>
          </c:val>
          <c:extLst>
            <c:ext xmlns:c16="http://schemas.microsoft.com/office/drawing/2014/chart" uri="{C3380CC4-5D6E-409C-BE32-E72D297353CC}">
              <c16:uniqueId val="{00000000-048C-48AC-A377-17D9BBFA9989}"/>
            </c:ext>
          </c:extLst>
        </c:ser>
        <c:dLbls>
          <c:dLblPos val="outEnd"/>
          <c:showLegendKey val="0"/>
          <c:showVal val="1"/>
          <c:showCatName val="0"/>
          <c:showSerName val="0"/>
          <c:showPercent val="0"/>
          <c:showBubbleSize val="0"/>
        </c:dLbls>
        <c:gapWidth val="219"/>
        <c:overlap val="-27"/>
        <c:axId val="2138899919"/>
        <c:axId val="2138900399"/>
      </c:barChart>
      <c:catAx>
        <c:axId val="21388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00399"/>
        <c:crosses val="autoZero"/>
        <c:auto val="1"/>
        <c:lblAlgn val="ctr"/>
        <c:lblOffset val="100"/>
        <c:noMultiLvlLbl val="0"/>
      </c:catAx>
      <c:valAx>
        <c:axId val="2138900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 Prep'!$D$116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Prep'!$C$117:$C$122</c:f>
              <c:strCache>
                <c:ptCount val="5"/>
                <c:pt idx="0">
                  <c:v>Evening</c:v>
                </c:pt>
                <c:pt idx="1">
                  <c:v>Afternoon</c:v>
                </c:pt>
                <c:pt idx="2">
                  <c:v>Night</c:v>
                </c:pt>
                <c:pt idx="3">
                  <c:v>Late Morning</c:v>
                </c:pt>
                <c:pt idx="4">
                  <c:v>Early Morning</c:v>
                </c:pt>
              </c:strCache>
            </c:strRef>
          </c:cat>
          <c:val>
            <c:numRef>
              <c:f>'Data Prep'!$D$117:$D$122</c:f>
              <c:numCache>
                <c:formatCode>0.00%</c:formatCode>
                <c:ptCount val="5"/>
                <c:pt idx="0">
                  <c:v>0.37096774193548387</c:v>
                </c:pt>
                <c:pt idx="1">
                  <c:v>0.24193548387096775</c:v>
                </c:pt>
                <c:pt idx="2">
                  <c:v>0.20967741935483872</c:v>
                </c:pt>
                <c:pt idx="3">
                  <c:v>0.12903225806451613</c:v>
                </c:pt>
                <c:pt idx="4">
                  <c:v>4.8387096774193547E-2</c:v>
                </c:pt>
              </c:numCache>
            </c:numRef>
          </c:val>
          <c:extLst>
            <c:ext xmlns:c16="http://schemas.microsoft.com/office/drawing/2014/chart" uri="{C3380CC4-5D6E-409C-BE32-E72D297353CC}">
              <c16:uniqueId val="{00000000-6A21-42F4-AF90-8066FD671BC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'Data Prep'!$D$116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78-4DC5-BAF0-C632C33CF7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78-4DC5-BAF0-C632C33CF7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78-4DC5-BAF0-C632C33CF7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78-4DC5-BAF0-C632C33CF7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78-4DC5-BAF0-C632C33CF7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978-4DC5-BAF0-C632C33CF7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Prep'!$C$117:$C$122</c:f>
              <c:strCache>
                <c:ptCount val="5"/>
                <c:pt idx="0">
                  <c:v>Evening</c:v>
                </c:pt>
                <c:pt idx="1">
                  <c:v>Afternoon</c:v>
                </c:pt>
                <c:pt idx="2">
                  <c:v>Night</c:v>
                </c:pt>
                <c:pt idx="3">
                  <c:v>Late Morning</c:v>
                </c:pt>
                <c:pt idx="4">
                  <c:v>Early Morning</c:v>
                </c:pt>
              </c:strCache>
            </c:strRef>
          </c:cat>
          <c:val>
            <c:numRef>
              <c:f>'Data Prep'!$D$117:$D$122</c:f>
              <c:numCache>
                <c:formatCode>0.00%</c:formatCode>
                <c:ptCount val="5"/>
                <c:pt idx="0">
                  <c:v>0.37096774193548387</c:v>
                </c:pt>
                <c:pt idx="1">
                  <c:v>0.24193548387096775</c:v>
                </c:pt>
                <c:pt idx="2">
                  <c:v>0.20967741935483872</c:v>
                </c:pt>
                <c:pt idx="3">
                  <c:v>0.12903225806451613</c:v>
                </c:pt>
                <c:pt idx="4">
                  <c:v>4.8387096774193547E-2</c:v>
                </c:pt>
              </c:numCache>
            </c:numRef>
          </c:val>
          <c:extLst>
            <c:ext xmlns:c16="http://schemas.microsoft.com/office/drawing/2014/chart" uri="{C3380CC4-5D6E-409C-BE32-E72D297353CC}">
              <c16:uniqueId val="{0000000C-4978-4DC5-BAF0-C632C33CF7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Prep'!$D$100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Prep'!$C$101:$C$108</c:f>
              <c:strCache>
                <c:ptCount val="7"/>
                <c:pt idx="0">
                  <c:v>Tuesday</c:v>
                </c:pt>
                <c:pt idx="1">
                  <c:v>Saturday</c:v>
                </c:pt>
                <c:pt idx="2">
                  <c:v>Monday</c:v>
                </c:pt>
                <c:pt idx="3">
                  <c:v>Sunday</c:v>
                </c:pt>
                <c:pt idx="4">
                  <c:v>Friday</c:v>
                </c:pt>
                <c:pt idx="5">
                  <c:v>Thursday</c:v>
                </c:pt>
                <c:pt idx="6">
                  <c:v>Wednesday</c:v>
                </c:pt>
              </c:strCache>
            </c:strRef>
          </c:cat>
          <c:val>
            <c:numRef>
              <c:f>'Data Prep'!$D$101:$D$108</c:f>
              <c:numCache>
                <c:formatCode>0.00%</c:formatCode>
                <c:ptCount val="7"/>
                <c:pt idx="0">
                  <c:v>0.24193548387096775</c:v>
                </c:pt>
                <c:pt idx="1">
                  <c:v>0.17741935483870969</c:v>
                </c:pt>
                <c:pt idx="2">
                  <c:v>0.16129032258064516</c:v>
                </c:pt>
                <c:pt idx="3">
                  <c:v>0.14516129032258066</c:v>
                </c:pt>
                <c:pt idx="4">
                  <c:v>0.11290322580645161</c:v>
                </c:pt>
                <c:pt idx="5">
                  <c:v>8.0645161290322578E-2</c:v>
                </c:pt>
                <c:pt idx="6">
                  <c:v>8.0645161290322578E-2</c:v>
                </c:pt>
              </c:numCache>
            </c:numRef>
          </c:val>
          <c:extLst>
            <c:ext xmlns:c16="http://schemas.microsoft.com/office/drawing/2014/chart" uri="{C3380CC4-5D6E-409C-BE32-E72D297353CC}">
              <c16:uniqueId val="{00000000-1D26-4581-AC5E-05549ABE294F}"/>
            </c:ext>
          </c:extLst>
        </c:ser>
        <c:dLbls>
          <c:dLblPos val="outEnd"/>
          <c:showLegendKey val="0"/>
          <c:showVal val="1"/>
          <c:showCatName val="0"/>
          <c:showSerName val="0"/>
          <c:showPercent val="0"/>
          <c:showBubbleSize val="0"/>
        </c:dLbls>
        <c:gapWidth val="219"/>
        <c:overlap val="-27"/>
        <c:axId val="2138899919"/>
        <c:axId val="2138900399"/>
      </c:barChart>
      <c:catAx>
        <c:axId val="21388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00399"/>
        <c:crosses val="autoZero"/>
        <c:auto val="1"/>
        <c:lblAlgn val="ctr"/>
        <c:lblOffset val="100"/>
        <c:noMultiLvlLbl val="0"/>
      </c:catAx>
      <c:valAx>
        <c:axId val="2138900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Prep!MOM Trend Analysis</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'Data Prep'!$D$51</c:f>
              <c:strCache>
                <c:ptCount val="1"/>
                <c:pt idx="0">
                  <c:v>Sum of net_total</c:v>
                </c:pt>
              </c:strCache>
            </c:strRef>
          </c:tx>
          <c:spPr>
            <a:ln w="28575" cap="rnd">
              <a:solidFill>
                <a:schemeClr val="accent2"/>
              </a:solidFill>
              <a:round/>
            </a:ln>
            <a:effectLst/>
          </c:spPr>
          <c:marker>
            <c:symbol val="none"/>
          </c:marker>
          <c:cat>
            <c:multiLvlStrRef>
              <c:f>'Data Prep'!$B$52:$B$60</c:f>
              <c:multiLvlStrCache>
                <c:ptCount val="5"/>
                <c:lvl>
                  <c:pt idx="0">
                    <c:v>Jan</c:v>
                  </c:pt>
                  <c:pt idx="1">
                    <c:v>Feb</c:v>
                  </c:pt>
                  <c:pt idx="2">
                    <c:v>Mar</c:v>
                  </c:pt>
                  <c:pt idx="3">
                    <c:v>Apr</c:v>
                  </c:pt>
                  <c:pt idx="4">
                    <c:v>May</c:v>
                  </c:pt>
                </c:lvl>
                <c:lvl>
                  <c:pt idx="0">
                    <c:v>Qtr1</c:v>
                  </c:pt>
                  <c:pt idx="3">
                    <c:v>Qtr2</c:v>
                  </c:pt>
                </c:lvl>
                <c:lvl>
                  <c:pt idx="0">
                    <c:v>2024</c:v>
                  </c:pt>
                </c:lvl>
              </c:multiLvlStrCache>
            </c:multiLvlStrRef>
          </c:cat>
          <c:val>
            <c:numRef>
              <c:f>'Data Prep'!$D$52:$D$60</c:f>
              <c:numCache>
                <c:formatCode>General</c:formatCode>
                <c:ptCount val="5"/>
                <c:pt idx="0">
                  <c:v>4160</c:v>
                </c:pt>
                <c:pt idx="1">
                  <c:v>3580</c:v>
                </c:pt>
                <c:pt idx="2">
                  <c:v>3680</c:v>
                </c:pt>
                <c:pt idx="3">
                  <c:v>3778</c:v>
                </c:pt>
                <c:pt idx="4">
                  <c:v>10369</c:v>
                </c:pt>
              </c:numCache>
            </c:numRef>
          </c:val>
          <c:smooth val="0"/>
          <c:extLst>
            <c:ext xmlns:c16="http://schemas.microsoft.com/office/drawing/2014/chart" uri="{C3380CC4-5D6E-409C-BE32-E72D297353CC}">
              <c16:uniqueId val="{00000000-6D46-438C-AC80-E862A3FB0D1A}"/>
            </c:ext>
          </c:extLst>
        </c:ser>
        <c:dLbls>
          <c:showLegendKey val="0"/>
          <c:showVal val="0"/>
          <c:showCatName val="0"/>
          <c:showSerName val="0"/>
          <c:showPercent val="0"/>
          <c:showBubbleSize val="0"/>
        </c:dLbls>
        <c:marker val="1"/>
        <c:smooth val="0"/>
        <c:axId val="551698271"/>
        <c:axId val="551684351"/>
      </c:lineChart>
      <c:lineChart>
        <c:grouping val="standard"/>
        <c:varyColors val="0"/>
        <c:ser>
          <c:idx val="0"/>
          <c:order val="0"/>
          <c:tx>
            <c:strRef>
              <c:f>'Data Prep'!$C$51</c:f>
              <c:strCache>
                <c:ptCount val="1"/>
                <c:pt idx="0">
                  <c:v>Count of order_id</c:v>
                </c:pt>
              </c:strCache>
            </c:strRef>
          </c:tx>
          <c:spPr>
            <a:ln w="28575" cap="rnd">
              <a:solidFill>
                <a:schemeClr val="accent1"/>
              </a:solidFill>
              <a:round/>
            </a:ln>
            <a:effectLst/>
          </c:spPr>
          <c:marker>
            <c:symbol val="none"/>
          </c:marker>
          <c:cat>
            <c:multiLvlStrRef>
              <c:f>'Data Prep'!$B$52:$B$60</c:f>
              <c:multiLvlStrCache>
                <c:ptCount val="5"/>
                <c:lvl>
                  <c:pt idx="0">
                    <c:v>Jan</c:v>
                  </c:pt>
                  <c:pt idx="1">
                    <c:v>Feb</c:v>
                  </c:pt>
                  <c:pt idx="2">
                    <c:v>Mar</c:v>
                  </c:pt>
                  <c:pt idx="3">
                    <c:v>Apr</c:v>
                  </c:pt>
                  <c:pt idx="4">
                    <c:v>May</c:v>
                  </c:pt>
                </c:lvl>
                <c:lvl>
                  <c:pt idx="0">
                    <c:v>Qtr1</c:v>
                  </c:pt>
                  <c:pt idx="3">
                    <c:v>Qtr2</c:v>
                  </c:pt>
                </c:lvl>
                <c:lvl>
                  <c:pt idx="0">
                    <c:v>2024</c:v>
                  </c:pt>
                </c:lvl>
              </c:multiLvlStrCache>
            </c:multiLvlStrRef>
          </c:cat>
          <c:val>
            <c:numRef>
              <c:f>'Data Prep'!$C$52:$C$60</c:f>
              <c:numCache>
                <c:formatCode>General</c:formatCode>
                <c:ptCount val="5"/>
                <c:pt idx="0">
                  <c:v>8</c:v>
                </c:pt>
                <c:pt idx="1">
                  <c:v>11</c:v>
                </c:pt>
                <c:pt idx="2">
                  <c:v>10</c:v>
                </c:pt>
                <c:pt idx="3">
                  <c:v>10</c:v>
                </c:pt>
                <c:pt idx="4">
                  <c:v>23</c:v>
                </c:pt>
              </c:numCache>
            </c:numRef>
          </c:val>
          <c:smooth val="0"/>
          <c:extLst>
            <c:ext xmlns:c16="http://schemas.microsoft.com/office/drawing/2014/chart" uri="{C3380CC4-5D6E-409C-BE32-E72D297353CC}">
              <c16:uniqueId val="{00000001-6D46-438C-AC80-E862A3FB0D1A}"/>
            </c:ext>
          </c:extLst>
        </c:ser>
        <c:dLbls>
          <c:showLegendKey val="0"/>
          <c:showVal val="0"/>
          <c:showCatName val="0"/>
          <c:showSerName val="0"/>
          <c:showPercent val="0"/>
          <c:showBubbleSize val="0"/>
        </c:dLbls>
        <c:marker val="1"/>
        <c:smooth val="0"/>
        <c:axId val="560378831"/>
        <c:axId val="560381711"/>
      </c:lineChart>
      <c:catAx>
        <c:axId val="55169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84351"/>
        <c:crosses val="autoZero"/>
        <c:auto val="1"/>
        <c:lblAlgn val="ctr"/>
        <c:lblOffset val="100"/>
        <c:noMultiLvlLbl val="0"/>
      </c:catAx>
      <c:valAx>
        <c:axId val="55168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698271"/>
        <c:crosses val="autoZero"/>
        <c:crossBetween val="between"/>
      </c:valAx>
      <c:valAx>
        <c:axId val="56038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378831"/>
        <c:crosses val="max"/>
        <c:crossBetween val="between"/>
      </c:valAx>
      <c:catAx>
        <c:axId val="560378831"/>
        <c:scaling>
          <c:orientation val="minMax"/>
        </c:scaling>
        <c:delete val="1"/>
        <c:axPos val="b"/>
        <c:numFmt formatCode="General" sourceLinked="1"/>
        <c:majorTickMark val="out"/>
        <c:minorTickMark val="none"/>
        <c:tickLblPos val="nextTo"/>
        <c:crossAx val="560381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7807840990509"/>
          <c:y val="9.0410522503410418E-2"/>
          <c:w val="0.70558648520136069"/>
          <c:h val="0.80675729668978247"/>
        </c:manualLayout>
      </c:layout>
      <c:barChart>
        <c:barDir val="bar"/>
        <c:grouping val="clustered"/>
        <c:varyColors val="0"/>
        <c:ser>
          <c:idx val="0"/>
          <c:order val="0"/>
          <c:tx>
            <c:strRef>
              <c:f>'Data Prep'!$C$25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Prep'!$B$26:$B$35</c:f>
              <c:strCache>
                <c:ptCount val="9"/>
                <c:pt idx="0">
                  <c:v>SWIGGYIT</c:v>
                </c:pt>
                <c:pt idx="1">
                  <c:v>No Coupon Applied</c:v>
                </c:pt>
                <c:pt idx="2">
                  <c:v>TRYNEW</c:v>
                </c:pt>
                <c:pt idx="3">
                  <c:v>MDM150</c:v>
                </c:pt>
                <c:pt idx="4">
                  <c:v>JUMBO</c:v>
                </c:pt>
                <c:pt idx="5">
                  <c:v>MISSEDYOU</c:v>
                </c:pt>
                <c:pt idx="6">
                  <c:v>FLATDEAL</c:v>
                </c:pt>
                <c:pt idx="7">
                  <c:v>DEALICIOUS</c:v>
                </c:pt>
                <c:pt idx="8">
                  <c:v>FLAT100</c:v>
                </c:pt>
              </c:strCache>
            </c:strRef>
          </c:cat>
          <c:val>
            <c:numRef>
              <c:f>'Data Prep'!$C$26:$C$35</c:f>
              <c:numCache>
                <c:formatCode>0.00%</c:formatCode>
                <c:ptCount val="9"/>
                <c:pt idx="0">
                  <c:v>0.37096774193548387</c:v>
                </c:pt>
                <c:pt idx="1">
                  <c:v>0.22580645161290322</c:v>
                </c:pt>
                <c:pt idx="2">
                  <c:v>0.11290322580645161</c:v>
                </c:pt>
                <c:pt idx="3">
                  <c:v>9.6774193548387094E-2</c:v>
                </c:pt>
                <c:pt idx="4">
                  <c:v>4.8387096774193547E-2</c:v>
                </c:pt>
                <c:pt idx="5">
                  <c:v>4.8387096774193547E-2</c:v>
                </c:pt>
                <c:pt idx="6">
                  <c:v>3.2258064516129031E-2</c:v>
                </c:pt>
                <c:pt idx="7">
                  <c:v>3.2258064516129031E-2</c:v>
                </c:pt>
                <c:pt idx="8">
                  <c:v>3.2258064516129031E-2</c:v>
                </c:pt>
              </c:numCache>
            </c:numRef>
          </c:val>
          <c:extLst>
            <c:ext xmlns:c16="http://schemas.microsoft.com/office/drawing/2014/chart" uri="{C3380CC4-5D6E-409C-BE32-E72D297353CC}">
              <c16:uniqueId val="{00000000-59F7-4E7A-A288-886C763A1CD8}"/>
            </c:ext>
          </c:extLst>
        </c:ser>
        <c:dLbls>
          <c:dLblPos val="outEnd"/>
          <c:showLegendKey val="0"/>
          <c:showVal val="1"/>
          <c:showCatName val="0"/>
          <c:showSerName val="0"/>
          <c:showPercent val="0"/>
          <c:showBubbleSize val="0"/>
        </c:dLbls>
        <c:gapWidth val="182"/>
        <c:axId val="432483215"/>
        <c:axId val="432485135"/>
      </c:barChart>
      <c:catAx>
        <c:axId val="4324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85135"/>
        <c:crosses val="autoZero"/>
        <c:auto val="1"/>
        <c:lblAlgn val="ctr"/>
        <c:lblOffset val="100"/>
        <c:noMultiLvlLbl val="0"/>
      </c:catAx>
      <c:valAx>
        <c:axId val="4324851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 Prep'!$C$77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8F-4A3C-AB4F-3A8E6726B5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8F-4A3C-AB4F-3A8E6726B5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Prep'!$B$78:$B$80</c:f>
              <c:strCache>
                <c:ptCount val="2"/>
                <c:pt idx="0">
                  <c:v>Non_Veg</c:v>
                </c:pt>
                <c:pt idx="1">
                  <c:v>Veg</c:v>
                </c:pt>
              </c:strCache>
            </c:strRef>
          </c:cat>
          <c:val>
            <c:numRef>
              <c:f>'Data Prep'!$C$78:$C$80</c:f>
              <c:numCache>
                <c:formatCode>0.00%</c:formatCode>
                <c:ptCount val="2"/>
                <c:pt idx="0">
                  <c:v>0.6</c:v>
                </c:pt>
                <c:pt idx="1">
                  <c:v>0.4</c:v>
                </c:pt>
              </c:numCache>
            </c:numRef>
          </c:val>
          <c:extLst>
            <c:ext xmlns:c16="http://schemas.microsoft.com/office/drawing/2014/chart" uri="{C3380CC4-5D6E-409C-BE32-E72D297353CC}">
              <c16:uniqueId val="{00000004-9C8F-4A3C-AB4F-3A8E6726B5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171450</xdr:colOff>
      <xdr:row>25</xdr:row>
      <xdr:rowOff>25400</xdr:rowOff>
    </xdr:from>
    <xdr:to>
      <xdr:col>8</xdr:col>
      <xdr:colOff>1739900</xdr:colOff>
      <xdr:row>37</xdr:row>
      <xdr:rowOff>31750</xdr:rowOff>
    </xdr:to>
    <xdr:graphicFrame macro="">
      <xdr:nvGraphicFramePr>
        <xdr:cNvPr id="2" name="Chart 1">
          <a:extLst>
            <a:ext uri="{FF2B5EF4-FFF2-40B4-BE49-F238E27FC236}">
              <a16:creationId xmlns:a16="http://schemas.microsoft.com/office/drawing/2014/main" id="{BD0F5B37-7430-A028-DF6C-7D67AF4AC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196850</xdr:colOff>
      <xdr:row>50</xdr:row>
      <xdr:rowOff>88900</xdr:rowOff>
    </xdr:from>
    <xdr:to>
      <xdr:col>9</xdr:col>
      <xdr:colOff>19050</xdr:colOff>
      <xdr:row>65</xdr:row>
      <xdr:rowOff>69850</xdr:rowOff>
    </xdr:to>
    <xdr:graphicFrame macro="">
      <xdr:nvGraphicFramePr>
        <xdr:cNvPr id="3" name="Chart 2">
          <a:extLst>
            <a:ext uri="{FF2B5EF4-FFF2-40B4-BE49-F238E27FC236}">
              <a16:creationId xmlns:a16="http://schemas.microsoft.com/office/drawing/2014/main" id="{1F1186F0-0A14-DD12-CFAC-18A8C2F1A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990600</xdr:colOff>
      <xdr:row>71</xdr:row>
      <xdr:rowOff>171450</xdr:rowOff>
    </xdr:from>
    <xdr:to>
      <xdr:col>7</xdr:col>
      <xdr:colOff>914400</xdr:colOff>
      <xdr:row>84</xdr:row>
      <xdr:rowOff>76200</xdr:rowOff>
    </xdr:to>
    <xdr:graphicFrame macro="">
      <xdr:nvGraphicFramePr>
        <xdr:cNvPr id="4" name="Chart 3">
          <a:extLst>
            <a:ext uri="{FF2B5EF4-FFF2-40B4-BE49-F238E27FC236}">
              <a16:creationId xmlns:a16="http://schemas.microsoft.com/office/drawing/2014/main" id="{56263E19-E753-F360-1E11-AA095C512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206374</xdr:colOff>
      <xdr:row>93</xdr:row>
      <xdr:rowOff>177800</xdr:rowOff>
    </xdr:from>
    <xdr:to>
      <xdr:col>9</xdr:col>
      <xdr:colOff>241299</xdr:colOff>
      <xdr:row>108</xdr:row>
      <xdr:rowOff>31750</xdr:rowOff>
    </xdr:to>
    <xdr:graphicFrame macro="">
      <xdr:nvGraphicFramePr>
        <xdr:cNvPr id="7" name="Chart 6">
          <a:extLst>
            <a:ext uri="{FF2B5EF4-FFF2-40B4-BE49-F238E27FC236}">
              <a16:creationId xmlns:a16="http://schemas.microsoft.com/office/drawing/2014/main" id="{FFB153E7-1AB3-EEA2-8C3B-11B316DD8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95250</xdr:colOff>
      <xdr:row>124</xdr:row>
      <xdr:rowOff>76200</xdr:rowOff>
    </xdr:from>
    <xdr:to>
      <xdr:col>6</xdr:col>
      <xdr:colOff>406400</xdr:colOff>
      <xdr:row>137</xdr:row>
      <xdr:rowOff>158750</xdr:rowOff>
    </xdr:to>
    <xdr:graphicFrame macro="">
      <xdr:nvGraphicFramePr>
        <xdr:cNvPr id="8" name="Chart 7">
          <a:extLst>
            <a:ext uri="{FF2B5EF4-FFF2-40B4-BE49-F238E27FC236}">
              <a16:creationId xmlns:a16="http://schemas.microsoft.com/office/drawing/2014/main" id="{E98F2AE4-7C84-71A3-B3DB-F37F860E1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171450</xdr:colOff>
      <xdr:row>38</xdr:row>
      <xdr:rowOff>158750</xdr:rowOff>
    </xdr:from>
    <xdr:to>
      <xdr:col>5</xdr:col>
      <xdr:colOff>285750</xdr:colOff>
      <xdr:row>52</xdr:row>
      <xdr:rowOff>104775</xdr:rowOff>
    </xdr:to>
    <mc:AlternateContent xmlns:mc="http://schemas.openxmlformats.org/markup-compatibility/2006">
      <mc:Choice xmlns:a14="http://schemas.microsoft.com/office/drawing/2010/main" Requires="a14">
        <xdr:graphicFrame macro="">
          <xdr:nvGraphicFramePr>
            <xdr:cNvPr id="9" name="order_status">
              <a:extLst>
                <a:ext uri="{FF2B5EF4-FFF2-40B4-BE49-F238E27FC236}">
                  <a16:creationId xmlns:a16="http://schemas.microsoft.com/office/drawing/2014/main" id="{743D1E37-6DBD-2C9F-65E7-C2ADE7F4F5BC}"/>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902200" y="715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38</xdr:row>
      <xdr:rowOff>6350</xdr:rowOff>
    </xdr:from>
    <xdr:to>
      <xdr:col>6</xdr:col>
      <xdr:colOff>1143000</xdr:colOff>
      <xdr:row>51</xdr:row>
      <xdr:rowOff>136525</xdr:rowOff>
    </xdr:to>
    <mc:AlternateContent xmlns:mc="http://schemas.openxmlformats.org/markup-compatibility/2006">
      <mc:Choice xmlns:a14="http://schemas.microsoft.com/office/drawing/2010/main" Requires="a14">
        <xdr:graphicFrame macro="">
          <xdr:nvGraphicFramePr>
            <xdr:cNvPr id="10" name="on_time">
              <a:extLst>
                <a:ext uri="{FF2B5EF4-FFF2-40B4-BE49-F238E27FC236}">
                  <a16:creationId xmlns:a16="http://schemas.microsoft.com/office/drawing/2014/main" id="{81C88C3F-2E6A-B1E2-3E52-2DE8E53E15B2}"/>
                </a:ext>
              </a:extLst>
            </xdr:cNvPr>
            <xdr:cNvGraphicFramePr/>
          </xdr:nvGraphicFramePr>
          <xdr:xfrm>
            <a:off x="0" y="0"/>
            <a:ext cx="0" cy="0"/>
          </xdr:xfrm>
          <a:graphic>
            <a:graphicData uri="http://schemas.microsoft.com/office/drawing/2010/slicer">
              <sle:slicer xmlns:sle="http://schemas.microsoft.com/office/drawing/2010/slicer" name="on_time"/>
            </a:graphicData>
          </a:graphic>
        </xdr:graphicFrame>
      </mc:Choice>
      <mc:Fallback>
        <xdr:sp macro="" textlink="">
          <xdr:nvSpPr>
            <xdr:cNvPr id="0" name=""/>
            <xdr:cNvSpPr>
              <a:spLocks noTextEdit="1"/>
            </xdr:cNvSpPr>
          </xdr:nvSpPr>
          <xdr:spPr>
            <a:xfrm>
              <a:off x="6369050" y="7004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1143000</xdr:colOff>
      <xdr:row>37</xdr:row>
      <xdr:rowOff>152400</xdr:rowOff>
    </xdr:from>
    <xdr:to>
      <xdr:col>8</xdr:col>
      <xdr:colOff>463550</xdr:colOff>
      <xdr:row>51</xdr:row>
      <xdr:rowOff>98425</xdr:rowOff>
    </xdr:to>
    <mc:AlternateContent xmlns:mc="http://schemas.openxmlformats.org/markup-compatibility/2006">
      <mc:Choice xmlns:a14="http://schemas.microsoft.com/office/drawing/2010/main" Requires="a14">
        <xdr:graphicFrame macro="">
          <xdr:nvGraphicFramePr>
            <xdr:cNvPr id="12" name="Rain_mode_updated">
              <a:extLst>
                <a:ext uri="{FF2B5EF4-FFF2-40B4-BE49-F238E27FC236}">
                  <a16:creationId xmlns:a16="http://schemas.microsoft.com/office/drawing/2014/main" id="{F9408A6D-BB11-1E59-E843-36829F1808D8}"/>
                </a:ext>
              </a:extLst>
            </xdr:cNvPr>
            <xdr:cNvGraphicFramePr/>
          </xdr:nvGraphicFramePr>
          <xdr:xfrm>
            <a:off x="0" y="0"/>
            <a:ext cx="0" cy="0"/>
          </xdr:xfrm>
          <a:graphic>
            <a:graphicData uri="http://schemas.microsoft.com/office/drawing/2010/slicer">
              <sle:slicer xmlns:sle="http://schemas.microsoft.com/office/drawing/2010/slicer" name="Rain_mode_updated"/>
            </a:graphicData>
          </a:graphic>
        </xdr:graphicFrame>
      </mc:Choice>
      <mc:Fallback>
        <xdr:sp macro="" textlink="">
          <xdr:nvSpPr>
            <xdr:cNvPr id="0" name=""/>
            <xdr:cNvSpPr>
              <a:spLocks noTextEdit="1"/>
            </xdr:cNvSpPr>
          </xdr:nvSpPr>
          <xdr:spPr>
            <a:xfrm>
              <a:off x="8197850" y="696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1524000</xdr:colOff>
      <xdr:row>38</xdr:row>
      <xdr:rowOff>146050</xdr:rowOff>
    </xdr:from>
    <xdr:to>
      <xdr:col>12</xdr:col>
      <xdr:colOff>400050</xdr:colOff>
      <xdr:row>46</xdr:row>
      <xdr:rowOff>44450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D739758F-76B0-2178-7DDB-C112AC0C82C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563100" y="71437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135219</xdr:rowOff>
    </xdr:from>
    <xdr:to>
      <xdr:col>3</xdr:col>
      <xdr:colOff>0</xdr:colOff>
      <xdr:row>11</xdr:row>
      <xdr:rowOff>1</xdr:rowOff>
    </xdr:to>
    <mc:AlternateContent xmlns:mc="http://schemas.openxmlformats.org/markup-compatibility/2006">
      <mc:Choice xmlns:a14="http://schemas.microsoft.com/office/drawing/2010/main" Requires="a14">
        <xdr:graphicFrame macro="">
          <xdr:nvGraphicFramePr>
            <xdr:cNvPr id="2" name="order_status 1">
              <a:extLst>
                <a:ext uri="{FF2B5EF4-FFF2-40B4-BE49-F238E27FC236}">
                  <a16:creationId xmlns:a16="http://schemas.microsoft.com/office/drawing/2014/main" id="{1CED110E-78B2-46B1-A18B-A49FCD58B0FD}"/>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0" y="1042362"/>
              <a:ext cx="2567214" cy="953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11</xdr:row>
      <xdr:rowOff>0</xdr:rowOff>
    </xdr:from>
    <xdr:to>
      <xdr:col>3</xdr:col>
      <xdr:colOff>0</xdr:colOff>
      <xdr:row>16</xdr:row>
      <xdr:rowOff>0</xdr:rowOff>
    </xdr:to>
    <mc:AlternateContent xmlns:mc="http://schemas.openxmlformats.org/markup-compatibility/2006">
      <mc:Choice xmlns:a14="http://schemas.microsoft.com/office/drawing/2010/main" Requires="a14">
        <xdr:graphicFrame macro="">
          <xdr:nvGraphicFramePr>
            <xdr:cNvPr id="3" name="on_time 1">
              <a:extLst>
                <a:ext uri="{FF2B5EF4-FFF2-40B4-BE49-F238E27FC236}">
                  <a16:creationId xmlns:a16="http://schemas.microsoft.com/office/drawing/2014/main" id="{42B8F180-2F95-403A-94C3-5137D7B7DD4B}"/>
                </a:ext>
              </a:extLst>
            </xdr:cNvPr>
            <xdr:cNvGraphicFramePr/>
          </xdr:nvGraphicFramePr>
          <xdr:xfrm>
            <a:off x="0" y="0"/>
            <a:ext cx="0" cy="0"/>
          </xdr:xfrm>
          <a:graphic>
            <a:graphicData uri="http://schemas.microsoft.com/office/drawing/2010/slicer">
              <sle:slicer xmlns:sle="http://schemas.microsoft.com/office/drawing/2010/slicer" name="on_time 1"/>
            </a:graphicData>
          </a:graphic>
        </xdr:graphicFrame>
      </mc:Choice>
      <mc:Fallback>
        <xdr:sp macro="" textlink="">
          <xdr:nvSpPr>
            <xdr:cNvPr id="0" name=""/>
            <xdr:cNvSpPr>
              <a:spLocks noTextEdit="1"/>
            </xdr:cNvSpPr>
          </xdr:nvSpPr>
          <xdr:spPr>
            <a:xfrm>
              <a:off x="0" y="1995714"/>
              <a:ext cx="2567214"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16</xdr:row>
      <xdr:rowOff>1</xdr:rowOff>
    </xdr:from>
    <xdr:to>
      <xdr:col>3</xdr:col>
      <xdr:colOff>0</xdr:colOff>
      <xdr:row>24</xdr:row>
      <xdr:rowOff>38101</xdr:rowOff>
    </xdr:to>
    <mc:AlternateContent xmlns:mc="http://schemas.openxmlformats.org/markup-compatibility/2006">
      <mc:Choice xmlns:a14="http://schemas.microsoft.com/office/drawing/2010/main" Requires="a14">
        <xdr:graphicFrame macro="">
          <xdr:nvGraphicFramePr>
            <xdr:cNvPr id="4" name="Rain_mode_updated 1">
              <a:extLst>
                <a:ext uri="{FF2B5EF4-FFF2-40B4-BE49-F238E27FC236}">
                  <a16:creationId xmlns:a16="http://schemas.microsoft.com/office/drawing/2014/main" id="{CA7379BB-AEAC-4617-8D6B-228216C405E1}"/>
                </a:ext>
              </a:extLst>
            </xdr:cNvPr>
            <xdr:cNvGraphicFramePr/>
          </xdr:nvGraphicFramePr>
          <xdr:xfrm>
            <a:off x="0" y="0"/>
            <a:ext cx="0" cy="0"/>
          </xdr:xfrm>
          <a:graphic>
            <a:graphicData uri="http://schemas.microsoft.com/office/drawing/2010/slicer">
              <sle:slicer xmlns:sle="http://schemas.microsoft.com/office/drawing/2010/slicer" name="Rain_mode_updated 1"/>
            </a:graphicData>
          </a:graphic>
        </xdr:graphicFrame>
      </mc:Choice>
      <mc:Fallback>
        <xdr:sp macro="" textlink="">
          <xdr:nvSpPr>
            <xdr:cNvPr id="0" name=""/>
            <xdr:cNvSpPr>
              <a:spLocks noTextEdit="1"/>
            </xdr:cNvSpPr>
          </xdr:nvSpPr>
          <xdr:spPr>
            <a:xfrm>
              <a:off x="0" y="2902858"/>
              <a:ext cx="2567214" cy="1489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0</xdr:colOff>
      <xdr:row>31</xdr:row>
      <xdr:rowOff>1</xdr:rowOff>
    </xdr:from>
    <xdr:to>
      <xdr:col>10</xdr:col>
      <xdr:colOff>0</xdr:colOff>
      <xdr:row>37</xdr:row>
      <xdr:rowOff>0</xdr:rowOff>
    </xdr:to>
    <mc:AlternateContent xmlns:mc="http://schemas.openxmlformats.org/markup-compatibility/2006">
      <mc:Choice xmlns:tsle="http://schemas.microsoft.com/office/drawing/2012/timeslicer" Requires="tsle">
        <xdr:graphicFrame macro="">
          <xdr:nvGraphicFramePr>
            <xdr:cNvPr id="5" name="Order_Date 1">
              <a:extLst>
                <a:ext uri="{FF2B5EF4-FFF2-40B4-BE49-F238E27FC236}">
                  <a16:creationId xmlns:a16="http://schemas.microsoft.com/office/drawing/2014/main" id="{5E7561B5-318B-4E68-AB32-835E90C37762}"/>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2567214" y="5624287"/>
              <a:ext cx="8636000" cy="10885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0</xdr:colOff>
      <xdr:row>6</xdr:row>
      <xdr:rowOff>0</xdr:rowOff>
    </xdr:from>
    <xdr:to>
      <xdr:col>5</xdr:col>
      <xdr:colOff>0</xdr:colOff>
      <xdr:row>18</xdr:row>
      <xdr:rowOff>0</xdr:rowOff>
    </xdr:to>
    <xdr:graphicFrame macro="">
      <xdr:nvGraphicFramePr>
        <xdr:cNvPr id="6" name="Chart 5">
          <a:extLst>
            <a:ext uri="{FF2B5EF4-FFF2-40B4-BE49-F238E27FC236}">
              <a16:creationId xmlns:a16="http://schemas.microsoft.com/office/drawing/2014/main" id="{A43562C9-FDB8-4A2C-BE59-A3D219A4E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xdr:row>
      <xdr:rowOff>186763</xdr:rowOff>
    </xdr:from>
    <xdr:to>
      <xdr:col>10</xdr:col>
      <xdr:colOff>0</xdr:colOff>
      <xdr:row>17</xdr:row>
      <xdr:rowOff>186764</xdr:rowOff>
    </xdr:to>
    <xdr:graphicFrame macro="">
      <xdr:nvGraphicFramePr>
        <xdr:cNvPr id="7" name="Chart 6">
          <a:extLst>
            <a:ext uri="{FF2B5EF4-FFF2-40B4-BE49-F238E27FC236}">
              <a16:creationId xmlns:a16="http://schemas.microsoft.com/office/drawing/2014/main" id="{629687C7-A5B1-4A41-AB69-09B3B6F59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18</xdr:row>
      <xdr:rowOff>0</xdr:rowOff>
    </xdr:from>
    <xdr:to>
      <xdr:col>10</xdr:col>
      <xdr:colOff>0</xdr:colOff>
      <xdr:row>31</xdr:row>
      <xdr:rowOff>0</xdr:rowOff>
    </xdr:to>
    <xdr:graphicFrame macro="">
      <xdr:nvGraphicFramePr>
        <xdr:cNvPr id="8" name="Chart 7">
          <a:extLst>
            <a:ext uri="{FF2B5EF4-FFF2-40B4-BE49-F238E27FC236}">
              <a16:creationId xmlns:a16="http://schemas.microsoft.com/office/drawing/2014/main" id="{791EB8DF-8B1D-49A0-ADEC-7D3EBB008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xdr:row>
      <xdr:rowOff>186763</xdr:rowOff>
    </xdr:from>
    <xdr:to>
      <xdr:col>17</xdr:col>
      <xdr:colOff>0</xdr:colOff>
      <xdr:row>37</xdr:row>
      <xdr:rowOff>0</xdr:rowOff>
    </xdr:to>
    <xdr:graphicFrame macro="">
      <xdr:nvGraphicFramePr>
        <xdr:cNvPr id="9" name="Chart 8">
          <a:extLst>
            <a:ext uri="{FF2B5EF4-FFF2-40B4-BE49-F238E27FC236}">
              <a16:creationId xmlns:a16="http://schemas.microsoft.com/office/drawing/2014/main" id="{A6FF09B0-E315-4E30-949A-727184AA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186764</xdr:rowOff>
    </xdr:from>
    <xdr:to>
      <xdr:col>3</xdr:col>
      <xdr:colOff>0</xdr:colOff>
      <xdr:row>36</xdr:row>
      <xdr:rowOff>186764</xdr:rowOff>
    </xdr:to>
    <xdr:graphicFrame macro="">
      <xdr:nvGraphicFramePr>
        <xdr:cNvPr id="10" name="Chart 9">
          <a:extLst>
            <a:ext uri="{FF2B5EF4-FFF2-40B4-BE49-F238E27FC236}">
              <a16:creationId xmlns:a16="http://schemas.microsoft.com/office/drawing/2014/main" id="{227B4370-16D6-4E79-ADE6-A4AD81A55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7.518773263888" createdVersion="8" refreshedVersion="8" minRefreshableVersion="3" recordCount="107" xr:uid="{015405ED-C3C1-42EC-86AD-2FABFA8DED11}">
  <cacheSource type="worksheet">
    <worksheetSource name="Orders"/>
  </cacheSource>
  <cacheFields count="40">
    <cacheField name="order_id" numFmtId="0">
      <sharedItems containsSemiMixedTypes="0" containsString="0" containsNumber="1" containsInteger="1" minValue="171863054117" maxValue="175244332362622"/>
    </cacheField>
    <cacheField name="is_coupon_applied" numFmtId="0">
      <sharedItems/>
    </cacheField>
    <cacheField name="coupon_applied" numFmtId="0">
      <sharedItems/>
    </cacheField>
    <cacheField name="offers_data" numFmtId="0">
      <sharedItems longText="1"/>
    </cacheField>
    <cacheField name="order_time" numFmtId="0">
      <sharedItems/>
    </cacheField>
    <cacheField name="confirmed_time" numFmtId="0">
      <sharedItems containsMixedTypes="1" containsNumber="1" containsInteger="1" minValue="0" maxValue="0"/>
    </cacheField>
    <cacheField name="customer_id" numFmtId="0">
      <sharedItems/>
    </cacheField>
    <cacheField name="order_status" numFmtId="0">
      <sharedItems count="2">
        <s v="Delivered"/>
        <s v="cancelled"/>
      </sharedItems>
    </cacheField>
    <cacheField name="delivery_boy.name" numFmtId="0">
      <sharedItems containsMixedTypes="1" containsNumber="1" containsInteger="1" minValue="0" maxValue="0"/>
    </cacheField>
    <cacheField name="restaurant_id" numFmtId="0">
      <sharedItems/>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ount="3">
        <s v="UPICollect"/>
        <s v="Cash"/>
        <s v="UPIIntent"/>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acheField>
    <cacheField name="Coupon_Code_Updated" numFmtId="0">
      <sharedItems count="17">
        <s v="SWIGGYIT"/>
        <s v="No Coupon Applied"/>
        <s v="MISSEDYOU"/>
        <s v="DEALICIOUS"/>
        <s v="MDM150"/>
        <s v="TRYNEW"/>
        <s v="JUMBO"/>
        <s v="FLATDEAL"/>
        <s v="FLAT100"/>
        <s v="CELEBRATIONS"/>
        <s v="KINGK50"/>
        <s v="WORLDCUPMANIA"/>
        <s v="LUNCHBINGE"/>
        <s v="TRYNEW-XL"/>
        <s v="SPECIALS"/>
        <s v="PARTY"/>
        <s v="WEEKENDS"/>
      </sharedItems>
    </cacheField>
    <cacheField name="restaurant_name_updated" numFmtId="0">
      <sharedItems count="43">
        <s v="Paris Panini "/>
        <s v="Nandhana Palace"/>
        <s v="The Ganache Factory "/>
        <s v="Rasayan"/>
        <s v="Firangi Bake"/>
        <s v="Daily Sushi"/>
        <s v="Naalnaad Mane"/>
        <s v="Theobroma"/>
        <s v="Love And Crumble"/>
        <s v="Homely"/>
        <s v="Chowman"/>
        <s v="Frozen Bottle "/>
        <s v="Leon's "/>
        <s v="Subway"/>
        <s v="Bowl Soul"/>
        <s v="Sundae Everyday Ice Creams"/>
        <s v="Smoky Docky"/>
        <s v="NOTO "/>
        <s v="Baba Ganoush"/>
        <s v="Domino's Pizza"/>
        <s v="The Belgian Waffle Co."/>
        <s v="Paratha Envy"/>
        <s v="McDonald's"/>
        <s v="Burger Seigneur"/>
        <s v="Tharavadu family restaurant"/>
        <s v="The Best Thickshakes Co"/>
        <s v="Wow! Momo"/>
        <s v="Dosa Chicken &amp; Tiffins"/>
        <s v="The Himalayan Momo Company"/>
        <s v="Kairali Restaurant"/>
        <s v="Asha tiffins"/>
        <s v="Imperio Restaurant"/>
        <s v="HSR Freshcane Juice"/>
        <s v="Plan B"/>
        <s v="Drunken Monkey"/>
        <s v="Truffles"/>
        <s v="Istah "/>
        <s v="The Thick Shake Factory"/>
        <s v="Kerala Panoor Restaurant"/>
        <s v="FreshMenu"/>
        <s v="La Pino'z Pizza"/>
        <s v="Cafe Amudham"/>
        <s v="Table for Tous"/>
      </sharedItems>
    </cacheField>
    <cacheField name="restaurant_area_name_updated" numFmtId="0">
      <sharedItems/>
    </cacheField>
    <cacheField name="Discount" numFmtId="0">
      <sharedItems containsSemiMixedTypes="0" containsString="0" containsNumber="1" minValue="0" maxValue="197"/>
    </cacheField>
    <cacheField name="Order_Date" numFmtId="14">
      <sharedItems containsSemiMixedTypes="0" containsNonDate="0" containsDate="1" containsString="0" minDate="2023-07-08T00:00:00" maxDate="2024-05-22T00:00:00" count="85">
        <d v="2024-05-21T00:00:00"/>
        <d v="2024-05-20T00:00:00"/>
        <d v="2024-05-18T00:00:00"/>
        <d v="2024-05-17T00:00:00"/>
        <d v="2024-05-10T00:00:00"/>
        <d v="2024-05-08T00:00:00"/>
        <d v="2024-05-07T00:00:00"/>
        <d v="2024-05-06T00:00:00"/>
        <d v="2024-05-05T00:00:00"/>
        <d v="2024-05-04T00:00:00"/>
        <d v="2024-05-02T00:00:00"/>
        <d v="2024-05-01T00:00:00"/>
        <d v="2024-04-27T00:00:00"/>
        <d v="2024-04-25T00:00:00"/>
        <d v="2024-04-24T00:00:00"/>
        <d v="2024-04-23T00:00:00"/>
        <d v="2024-04-22T00:00:00"/>
        <d v="2024-04-18T00:00:00"/>
        <d v="2024-04-03T00:00:00"/>
        <d v="2024-04-01T00:00:00"/>
        <d v="2024-03-31T00:00:00"/>
        <d v="2024-03-25T00:00:00"/>
        <d v="2024-03-21T00:00:00"/>
        <d v="2024-03-10T00:00:00"/>
        <d v="2024-03-09T00:00:00"/>
        <d v="2024-03-08T00:00:00"/>
        <d v="2024-03-05T00:00:00"/>
        <d v="2024-03-04T00:00:00"/>
        <d v="2024-03-03T00:00:00"/>
        <d v="2024-03-02T00:00:00"/>
        <d v="2024-02-27T00:00:00"/>
        <d v="2024-02-26T00:00:00"/>
        <d v="2024-02-18T00:00:00"/>
        <d v="2024-02-16T00:00:00"/>
        <d v="2024-02-15T00:00:00"/>
        <d v="2024-02-13T00:00:00"/>
        <d v="2024-02-04T00:00:00"/>
        <d v="2024-02-03T00:00:00"/>
        <d v="2024-02-02T00:00:00"/>
        <d v="2024-01-28T00:00:00"/>
        <d v="2024-01-27T00:00:00"/>
        <d v="2024-01-20T00:00:00"/>
        <d v="2024-01-16T00:00:00"/>
        <d v="2024-01-14T00:00:00"/>
        <d v="2024-01-09T00:00:00"/>
        <d v="2023-12-31T00:00:00"/>
        <d v="2023-12-26T00:00:00"/>
        <d v="2023-12-25T00:00:00"/>
        <d v="2023-12-09T00:00:00"/>
        <d v="2023-12-02T00:00:00"/>
        <d v="2023-11-26T00:00:00"/>
        <d v="2023-11-23T00:00:00"/>
        <d v="2023-11-15T00:00:00"/>
        <d v="2023-11-08T00:00:00"/>
        <d v="2023-11-07T00:00:00"/>
        <d v="2023-11-05T00:00:00"/>
        <d v="2023-11-04T00:00:00"/>
        <d v="2023-10-26T00:00:00"/>
        <d v="2023-10-25T00:00:00"/>
        <d v="2023-10-24T00:00:00"/>
        <d v="2023-10-22T00:00:00"/>
        <d v="2023-10-21T00:00:00"/>
        <d v="2023-10-19T00:00:00"/>
        <d v="2023-10-09T00:00:00"/>
        <d v="2023-09-29T00:00:00"/>
        <d v="2023-09-25T00:00:00"/>
        <d v="2023-09-23T00:00:00"/>
        <d v="2023-09-19T00:00:00"/>
        <d v="2023-09-18T00:00:00"/>
        <d v="2023-09-12T00:00:00"/>
        <d v="2023-09-10T00:00:00"/>
        <d v="2023-09-08T00:00:00"/>
        <d v="2023-09-03T00:00:00"/>
        <d v="2023-09-02T00:00:00"/>
        <d v="2023-08-30T00:00:00"/>
        <d v="2023-08-27T00:00:00"/>
        <d v="2023-08-24T00:00:00"/>
        <d v="2023-08-15T00:00:00"/>
        <d v="2023-08-13T00:00:00"/>
        <d v="2023-08-09T00:00:00"/>
        <d v="2023-08-08T00:00:00"/>
        <d v="2023-08-06T00:00:00"/>
        <d v="2023-07-16T00:00:00"/>
        <d v="2023-07-09T00:00:00"/>
        <d v="2023-07-08T00:00:00"/>
      </sharedItems>
      <fieldGroup par="39"/>
    </cacheField>
    <cacheField name="Time" numFmtId="167">
      <sharedItems containsSemiMixedTypes="0" containsNonDate="0" containsDate="1" containsString="0" minDate="1899-12-30T01:01:28" maxDate="1899-12-30T23:58:33"/>
    </cacheField>
    <cacheField name="Weekday" numFmtId="0">
      <sharedItems count="7">
        <s v="Tuesday"/>
        <s v="Monday"/>
        <s v="Saturday"/>
        <s v="Friday"/>
        <s v="Wednesday"/>
        <s v="Sunday"/>
        <s v="Thursday"/>
      </sharedItems>
    </cacheField>
    <cacheField name="Day_Seg" numFmtId="0">
      <sharedItems count="6">
        <s v="Afternoon"/>
        <s v="Night"/>
        <s v="Late Morning"/>
        <s v="Evening"/>
        <s v="Early Morning"/>
        <s v="Morning"/>
      </sharedItems>
    </cacheField>
    <cacheField name="Rain_mode_updated" numFmtId="0">
      <sharedItems count="2">
        <s v="Sunny"/>
        <s v="Rainy"/>
      </sharedItems>
    </cacheField>
    <cacheField name="Months (Order_Date)" numFmtId="0" databaseField="0">
      <fieldGroup base="32">
        <rangePr groupBy="months" startDate="2023-07-08T00:00:00" endDate="2024-05-22T00:00:00"/>
        <groupItems count="14">
          <s v="&lt;7/8/2023"/>
          <s v="Jan"/>
          <s v="Feb"/>
          <s v="Mar"/>
          <s v="Apr"/>
          <s v="May"/>
          <s v="Jun"/>
          <s v="Jul"/>
          <s v="Aug"/>
          <s v="Sep"/>
          <s v="Oct"/>
          <s v="Nov"/>
          <s v="Dec"/>
          <s v="&gt;5/22/2024"/>
        </groupItems>
      </fieldGroup>
    </cacheField>
    <cacheField name="Quarters (Order_Date)" numFmtId="0" databaseField="0">
      <fieldGroup base="32">
        <rangePr groupBy="quarters" startDate="2023-07-08T00:00:00" endDate="2024-05-22T00:00:00"/>
        <groupItems count="6">
          <s v="&lt;7/8/2023"/>
          <s v="Qtr1"/>
          <s v="Qtr2"/>
          <s v="Qtr3"/>
          <s v="Qtr4"/>
          <s v="&gt;5/22/2024"/>
        </groupItems>
      </fieldGroup>
    </cacheField>
    <cacheField name="Years (Order_Date)" numFmtId="0" databaseField="0">
      <fieldGroup base="32">
        <rangePr groupBy="years" startDate="2023-07-08T00:00:00" endDate="2024-05-22T00:00:00"/>
        <groupItems count="4">
          <s v="&lt;7/8/2023"/>
          <s v="2023"/>
          <s v="2024"/>
          <s v="&gt;5/22/2024"/>
        </groupItems>
      </fieldGroup>
    </cacheField>
  </cacheFields>
  <extLst>
    <ext xmlns:x14="http://schemas.microsoft.com/office/spreadsheetml/2009/9/main" uri="{725AE2AE-9491-48be-B2B4-4EB974FC3084}">
      <x14:pivotCacheDefinition pivotCacheId="12183891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7.518781018516" createdVersion="8" refreshedVersion="8" minRefreshableVersion="3" recordCount="170" xr:uid="{326E12FF-14B6-425B-91F9-BF13242D9772}">
  <cacheSource type="worksheet">
    <worksheetSource name="Order_items"/>
  </cacheSource>
  <cacheFields count="5">
    <cacheField name="order_id" numFmtId="1">
      <sharedItems containsSemiMixedTypes="0" containsString="0" containsNumber="1" containsInteger="1" minValue="171863054117" maxValue="175244332362622"/>
    </cacheField>
    <cacheField name="order_items.name" numFmtId="0">
      <sharedItems count="110">
        <s v="Michel (Chicken &amp; Mozza Sandwich)"/>
        <s v="Supreme Boneless Chicken Biryani"/>
        <s v="Mutton Bone Soup"/>
        <s v="Mississippi Mud Pie"/>
        <s v="Apple Crumble Pie"/>
        <s v="Dark Chocolate Smoothie Bowl."/>
        <s v="Banana Peanutbutter Overnight Oats [350kcals][20gm protein]"/>
        <s v="Chicken Kheema Lasagne"/>
        <s v="Corn &amp; Pepper Lasagne"/>
        <s v="Veg. Ramyun"/>
        <s v="Chicken Katsu Ramyun"/>
        <s v="Onion Rings"/>
        <s v="Cajun Spiced Fries"/>
        <s v="Special Pandi Curry Thali"/>
        <s v="Overload Brownie [1 Piece]"/>
        <s v="Chocolate Mousse Cup [100g]"/>
        <s v="Millionaire Brownie [1 Piece]"/>
        <s v="Koli Curry With Ney Kulu/Noolputtu"/>
        <s v="Pepperoni Chicken Tikka lasagna"/>
        <s v="Raspberry Dark Chocolate"/>
        <s v="Dark Chocolate Chunk Sea Salt"/>
        <s v="Smoothie Bowl Of The Day[35Gm Protein]"/>
        <s v="Midnight Acai Delight[vegan][30-50gm Protein]"/>
        <s v="Noolputtu (2 Pcs)"/>
        <s v="Thith Pandi (Chilly Pork)"/>
        <s v="Pressure Cooker Chicken Curry and Homestyle Amritsari Dal Meal"/>
        <s v="Rasayan High Fiber Bowl[ 500gm 250kcals]"/>
        <s v="Midnight Acai Delight [320Kcals] [25Gm-45Gm Protein]"/>
        <s v="Wok Tossed Hakka Noodles"/>
        <s v="Hugo (Fried Chicken &amp; Mozza Sandwich)"/>
        <s v="Belgian Dark Chocolate Milkshake"/>
        <s v="Chicken Fillet Burger Combo"/>
        <s v="Single Lamb Cheese Burger"/>
        <s v="Roasted Chicken Strip Sandwich"/>
        <s v="B.M.T Sandwich"/>
        <s v="High-Protein Chicken Omelette"/>
        <s v="Chicken Pepper Dry Boneless"/>
        <s v="Ferrero Magic"/>
        <s v="Nutty Chocolate Sundae"/>
        <s v="Melted Cheese Chicken Shawarma"/>
        <s v="Nutella Cheese Cake"/>
        <s v="Blueberry Cheese Cake"/>
        <s v="Pork Chashu Ramyun"/>
        <s v="Chocolate Hazelnut Cake (Nutella Cake) (Eggless)"/>
        <s v="Tandoori Chicken Tikka Sandwich Guiltfree"/>
        <s v="Mint Choco Chip Ice Cream [125 Ml]"/>
        <s v="Salted Caramel Ice Cream [125 Ml]"/>
        <s v="Lebenese Shawarma"/>
        <s v="Mexican Green Wave Pizza"/>
        <s v="Naked Nutella Waffle"/>
        <s v="Salted Caramel Brownie"/>
        <s v="Nutella Stuffed Chocochips Cookie(1 Pc)"/>
        <s v="Chicken Kheema Cheese Paratha"/>
        <s v="Aloo Cheese Paratha"/>
        <s v="Big Spicy Paneer Wrap"/>
        <s v="Trapper Creek (Buff)"/>
        <s v="Paris Delice (Buff)"/>
        <s v="Tandoori Chicken Tikka Cheese Pull Sandwich"/>
        <s v="Spicy Chick'n Cheese"/>
        <s v="Chicken Varattiyathu"/>
        <s v="Idiyappam"/>
        <s v="Peanut Butter &amp; Snicker Thickshake"/>
        <s v="Choose Your Combo"/>
        <s v="Appam (1pc)"/>
        <s v="Tender Coconut Pudding"/>
        <s v="Chicken Varutharacha Curry"/>
        <s v="Chicken Darjeeling Steam Momo"/>
        <s v="Chicken Fried Momo Mania"/>
        <s v="Cheese Ramyun"/>
        <s v="Dosa (2 Pcs) Chicken Curry"/>
        <s v="Grilled Spicy Lamb Burger"/>
        <s v="Himalayan Steamed Chicken Momos"/>
        <s v="Ghee Gulab Jamun (2 Pcs)"/>
        <s v="Garlic Mayo"/>
        <s v="Nool Porota (1pc)"/>
        <s v="Meat Curry"/>
        <s v="Idli (2 Pcs)"/>
        <s v="Cold Coffee (275ml)"/>
        <s v="Masala Dosa"/>
        <s v="Boneless Chicken Manchurian"/>
        <s v="Chicken Kheema Paratha"/>
        <s v="Chicken &amp; Egg Pothichoru"/>
        <s v="Sugarcane With Ginger"/>
        <s v="Prawns Pepper Dry"/>
        <s v="12&quot; Badmash Pizza"/>
        <s v="Cajun Corn Kernels"/>
        <s v="Fish Fingers"/>
        <s v="Blue Berry Cheese Cake"/>
        <s v="Firecracker Wings"/>
        <s v="Orange Dynamite Wings"/>
        <s v="Creamy Buffalo"/>
        <s v="Chocolate And Love Smoothie Bowl"/>
        <s v="Calvin Eats Nutella"/>
        <s v="Trapper Creek"/>
        <s v="Spaghetti Carbonara Chicken"/>
        <s v="Istah's Chicken Shawarma in Rumali"/>
        <s v="Belgian Chocolate Milk Shake"/>
        <s v="Panoor Special Chicken Leg Fry"/>
        <s v="Chicken Kothu Parotta"/>
        <s v="Roasted Garlic Chicken Soup"/>
        <s v="Honey Chicken Peppers"/>
        <s v="Chicken Spaghetti Al Forno"/>
        <s v="Belgian Chocolate Thick Shake"/>
        <s v="Peanut Butter Indulgence Thick Shake"/>
        <s v="Americano Pasta Non-veg"/>
        <s v="Non Veg Club S/w"/>
        <s v="Classic Chicken Steak"/>
        <s v="Open Butter Masala Dosa "/>
        <s v="Dark Chocolate Cake [350 Grams, Serves 3]"/>
        <s v="Japanese Cotton Soft Cheesecake [125 Grams]"/>
      </sharedItems>
    </cacheField>
    <cacheField name="order_items.is_veg" numFmtId="0">
      <sharedItems containsSemiMixedTypes="0" containsString="0" containsNumber="1" containsInteger="1" minValue="0" maxValue="1"/>
    </cacheField>
    <cacheField name="order_items.quantity" numFmtId="0">
      <sharedItems containsSemiMixedTypes="0" containsString="0" containsNumber="1" containsInteger="1" minValue="1" maxValue="3"/>
    </cacheField>
    <cacheField name="Category" numFmtId="0">
      <sharedItems count="2">
        <s v="Non_Veg"/>
        <s v="Ve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s v="21191609"/>
    <x v="0"/>
    <s v="NARREDDY NAGESWARA REDDY"/>
    <s v="434304"/>
    <s v="Paris Panini - Gourmet Sandwiches &amp; Wraps"/>
    <s v="No.690/A, 14th Main, 100ft Road, JP Nagar 2nd Phase, Bangalore 560078."/>
    <s v="JP Nagar"/>
    <s v="Bangalore"/>
    <n v="1587"/>
    <n v="146"/>
    <n v="146"/>
    <n v="146"/>
    <n v="225"/>
    <n v="43"/>
    <n v="0"/>
    <s v="12.90649867,77.59165435"/>
    <n v="2.2000000000000002"/>
    <s v="SWIGGYIT"/>
    <x v="0"/>
    <s v="JP Nagar"/>
    <x v="0"/>
    <n v="0"/>
    <x v="0"/>
    <x v="0"/>
    <s v="JP Nagar"/>
    <n v="120"/>
    <x v="0"/>
    <d v="1899-12-30T12:28:52"/>
    <x v="0"/>
    <x v="0"/>
    <x v="0"/>
  </r>
  <r>
    <n v="175167017704058"/>
    <b v="0"/>
    <s v=""/>
    <s v=""/>
    <s v="2024-05-20 15:00:17"/>
    <s v="2024-05-20 15:00:38"/>
    <s v="21191609"/>
    <x v="0"/>
    <s v="Kesavamoorthi"/>
    <s v="12804"/>
    <s v="Nandhana Palace"/>
    <s v="JP nagar, 147, 24th Main Rd, R.K Colony, Marenahalli, 2nd Phase, J. P. Nagar, Bengaluru, Karnataka 560078"/>
    <s v="JP Nagar"/>
    <s v="Bangalore"/>
    <n v="1853"/>
    <n v="555"/>
    <n v="555"/>
    <n v="555"/>
    <n v="480"/>
    <n v="41"/>
    <n v="0"/>
    <s v="12.914599,77.585509"/>
    <n v="2.2000000000000002"/>
    <s v=""/>
    <x v="0"/>
    <s v="JP Nagar"/>
    <x v="0"/>
    <n v="0"/>
    <x v="1"/>
    <x v="1"/>
    <s v="JP Nagar"/>
    <n v="0"/>
    <x v="1"/>
    <d v="1899-12-30T15:00:17"/>
    <x v="1"/>
    <x v="0"/>
    <x v="0"/>
  </r>
  <r>
    <n v="175017114796029"/>
    <b v="1"/>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s v="21191609"/>
    <x v="0"/>
    <s v="Safiul Ansari"/>
    <s v="15250"/>
    <s v="The Ganache Factory - Cakes &amp; Desserts"/>
    <s v="#156, 43rd Cross, 8th Block, Next to Udupi Hub Resto, Jayanagar, Bangalore"/>
    <s v="8th Block"/>
    <s v="Bangalore"/>
    <n v="1559"/>
    <n v="382"/>
    <n v="382"/>
    <n v="382"/>
    <n v="400"/>
    <n v="69"/>
    <n v="0"/>
    <s v="12.91835714,77.578127"/>
    <n v="3.6"/>
    <s v="MISSEDYOU"/>
    <x v="0"/>
    <s v="Jayanagar"/>
    <x v="1"/>
    <n v="0"/>
    <x v="2"/>
    <x v="2"/>
    <s v="Jayanagar"/>
    <n v="80"/>
    <x v="2"/>
    <d v="1899-12-30T21:21:54"/>
    <x v="2"/>
    <x v="1"/>
    <x v="0"/>
  </r>
  <r>
    <n v="174973046023416"/>
    <b v="1"/>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s v="21191609"/>
    <x v="0"/>
    <s v="Rama Krishna"/>
    <s v="630473"/>
    <s v="Rasayan"/>
    <s v="652,13th cross,29th main road BTM 2nd stage,560078, Bangalore Karnataka"/>
    <s v="Health Bar"/>
    <s v="Bangalore"/>
    <n v="3760"/>
    <n v="421"/>
    <n v="421"/>
    <n v="421"/>
    <n v="415"/>
    <n v="46"/>
    <n v="0"/>
    <s v="12.907799,77.613487"/>
    <n v="2.5"/>
    <s v="SWIGGYIT"/>
    <x v="0"/>
    <s v="BTM 2nd Stage"/>
    <x v="0"/>
    <n v="0"/>
    <x v="0"/>
    <x v="3"/>
    <s v="BTM"/>
    <n v="39.99"/>
    <x v="2"/>
    <d v="1899-12-30T09:07:26"/>
    <x v="2"/>
    <x v="2"/>
    <x v="0"/>
  </r>
  <r>
    <n v="174906705849277"/>
    <b v="1"/>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s v="21191609"/>
    <x v="0"/>
    <s v="Tapan Nayak"/>
    <s v="34363"/>
    <s v="Firangi Bake"/>
    <s v="Shop No.4, Frist Floor, NGK Complex, Tavarekere Main Rd, 1st Stage, BTM Layout, Bengaluru, Karnataka 560029 ( Above DMart Ready)"/>
    <s v="NGK Complex"/>
    <s v="Bangalore"/>
    <n v="2257"/>
    <n v="556"/>
    <n v="556"/>
    <n v="556"/>
    <n v="624"/>
    <n v="35"/>
    <n v="0"/>
    <s v="12.920219,77.610520"/>
    <n v="2.2000000000000002"/>
    <s v="DEALICIOUS"/>
    <x v="0"/>
    <s v="BTM 1st Stage"/>
    <x v="0"/>
    <n v="0"/>
    <x v="3"/>
    <x v="4"/>
    <s v="BTM"/>
    <n v="124.99"/>
    <x v="3"/>
    <d v="1899-12-30T14:41:45"/>
    <x v="3"/>
    <x v="0"/>
    <x v="0"/>
  </r>
  <r>
    <n v="174329455765789"/>
    <b v="1"/>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s v="21191609"/>
    <x v="0"/>
    <s v="ARUN DYAVANAKATTI"/>
    <s v="474244"/>
    <s v="Daily Sushi"/>
    <s v="No.5, 1st Floor, 9th Main Road, 5th block, Jayanagar, 560041"/>
    <s v="5th Block"/>
    <s v="Bangalore"/>
    <n v="3262"/>
    <n v="1062"/>
    <n v="1062"/>
    <n v="1062"/>
    <n v="1050"/>
    <n v="45"/>
    <n v="0"/>
    <s v="12.92243257,77.58390586"/>
    <n v="3.2"/>
    <s v="MDM150"/>
    <x v="1"/>
    <s v="Jayanagar"/>
    <x v="0"/>
    <n v="0"/>
    <x v="4"/>
    <x v="5"/>
    <s v="Jayanagar"/>
    <n v="149.99"/>
    <x v="4"/>
    <d v="1899-12-30T22:20:55"/>
    <x v="3"/>
    <x v="1"/>
    <x v="0"/>
  </r>
  <r>
    <n v="174318296922309"/>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s v="21191609"/>
    <x v="0"/>
    <s v="PARASH"/>
    <s v="434304"/>
    <s v="Paris Panini - Gourmet Sandwiches &amp; Wraps"/>
    <s v="No.690/A, 14th Main, 100ft Road, JP Nagar 2nd Phase, Bangalore 560078."/>
    <s v="JP Nagar"/>
    <s v="Bangalore"/>
    <n v="2401"/>
    <n v="440"/>
    <n v="440"/>
    <n v="440"/>
    <n v="480"/>
    <n v="45"/>
    <n v="0"/>
    <s v="12.90649867,77.59165435"/>
    <n v="2.1"/>
    <s v="SWIGGYIT"/>
    <x v="1"/>
    <s v="JP Nagar"/>
    <x v="0"/>
    <n v="0"/>
    <x v="0"/>
    <x v="0"/>
    <s v="JP Nagar"/>
    <n v="120"/>
    <x v="4"/>
    <d v="1899-12-30T19:14:56"/>
    <x v="3"/>
    <x v="3"/>
    <x v="0"/>
  </r>
  <r>
    <n v="174118005152904"/>
    <b v="1"/>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s v="21191609"/>
    <x v="0"/>
    <s v="Sanjay Kumar Mohanty"/>
    <s v="534276"/>
    <s v="Naalnaad Mane"/>
    <s v="16,2ND FLOOR GOWRY'S BUILDING,ABOVE DOMINO'S,SY NO 13 OF AREKERE VILLAGE,BANNERGHATTA,BANGLAORE,jayanagar,B.B.M.PM south, karnataka - 560076"/>
    <s v="Mico Layout"/>
    <s v="Bangalore"/>
    <n v="2824"/>
    <n v="352"/>
    <n v="352"/>
    <n v="352"/>
    <n v="350"/>
    <n v="36"/>
    <n v="0"/>
    <s v="12.89009167,77.5976944"/>
    <n v="3.2"/>
    <s v="SWIGGYIT"/>
    <x v="0"/>
    <s v="Arekere"/>
    <x v="1"/>
    <n v="0"/>
    <x v="0"/>
    <x v="6"/>
    <s v="Arekere"/>
    <n v="35"/>
    <x v="5"/>
    <d v="1899-12-30T11:36:45"/>
    <x v="4"/>
    <x v="2"/>
    <x v="0"/>
  </r>
  <r>
    <n v="174075356745024"/>
    <b v="0"/>
    <s v=""/>
    <s v=""/>
    <s v="2024-05-07 23:45:56"/>
    <s v="2024-05-07 23:46:17"/>
    <s v="21191609"/>
    <x v="0"/>
    <s v="DIDAR HUSSAIN LASKAR"/>
    <s v="524936"/>
    <s v="Theobroma"/>
    <s v="SHOP NO-39,SHABARI ARCADE,14TH MAIN ROAD,OPP MAX SHOWROOM, HSR LAYOUT,BANGALORE-560102, BTM Layout , B.B.M.P South, Karnataka-560102"/>
    <s v="7th Sector"/>
    <s v="Bangalore"/>
    <n v="2011"/>
    <n v="644"/>
    <n v="644"/>
    <n v="644"/>
    <n v="275"/>
    <n v="71"/>
    <n v="0"/>
    <s v="12.91135428,77.6380469"/>
    <n v="5.2"/>
    <s v=""/>
    <x v="0"/>
    <s v="HSR Layout"/>
    <x v="1"/>
    <n v="0"/>
    <x v="1"/>
    <x v="7"/>
    <s v="HSR"/>
    <n v="0"/>
    <x v="6"/>
    <d v="1899-12-30T23:45:56"/>
    <x v="0"/>
    <x v="1"/>
    <x v="0"/>
  </r>
  <r>
    <n v="174067299373268"/>
    <b v="0"/>
    <s v=""/>
    <s v=""/>
    <s v="2024-05-07 21:31:39"/>
    <s v="2024-05-07 21:31:57"/>
    <s v="21191609"/>
    <x v="0"/>
    <s v="Vijayakumar  V"/>
    <s v="437065"/>
    <s v="Theobroma"/>
    <s v="SHOP NO. 475, GROUND FLOOR, 39TH &quot;C&quot; CROSS, 9TH MAIN, 5THBLOCK, JAYANAGAR,BANGALORE, Jayanagar ,B.B.M.P South, Karnataka,560041"/>
    <s v="5th Block"/>
    <s v="Bangalore"/>
    <n v="1455"/>
    <n v="387"/>
    <n v="387"/>
    <n v="387"/>
    <n v="275"/>
    <n v="0"/>
    <n v="0"/>
    <s v="12.92017647,77.5836421"/>
    <n v="3.2"/>
    <s v=""/>
    <x v="0"/>
    <s v="Jayanagar"/>
    <x v="1"/>
    <n v="0"/>
    <x v="1"/>
    <x v="7"/>
    <s v="Jayanagar"/>
    <n v="0"/>
    <x v="6"/>
    <d v="1899-12-30T21:31:39"/>
    <x v="0"/>
    <x v="1"/>
    <x v="0"/>
  </r>
  <r>
    <n v="174058332503576"/>
    <b v="1"/>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s v="21191609"/>
    <x v="0"/>
    <s v="Gangi Reddy"/>
    <s v="534276"/>
    <s v="Naalnaad Mane"/>
    <s v="16,2ND FLOOR GOWRY'S BUILDING,ABOVE DOMINO'S,SY NO 13 OF AREKERE VILLAGE,BANNERGHATTA,BANGLAORE,jayanagar,B.B.M.PM south, karnataka - 560076"/>
    <s v="Mico Layout"/>
    <s v="Bangalore"/>
    <n v="4292"/>
    <n v="320"/>
    <n v="320"/>
    <n v="320"/>
    <n v="280"/>
    <n v="0"/>
    <n v="0"/>
    <s v="12.89009167,77.5976944"/>
    <n v="3.2"/>
    <s v="SWIGGYIT"/>
    <x v="0"/>
    <s v="Arekere"/>
    <x v="0"/>
    <n v="0"/>
    <x v="0"/>
    <x v="6"/>
    <s v="Arekere"/>
    <n v="28"/>
    <x v="6"/>
    <d v="1899-12-30T19:02:12"/>
    <x v="0"/>
    <x v="3"/>
    <x v="0"/>
  </r>
  <r>
    <n v="174037702433562"/>
    <b v="1"/>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s v="21191609"/>
    <x v="0"/>
    <s v="Shiba Kairi"/>
    <s v="34363"/>
    <s v="Firangi Bake"/>
    <s v="Shop No.4, Frist Floor, NGK Complex, Tavarekere Main Rd, 1st Stage, BTM Layout, Bengaluru, Karnataka 560029 ( Above DMart Ready)"/>
    <s v="NGK Complex"/>
    <s v="Bangalore"/>
    <n v="2730"/>
    <n v="320"/>
    <n v="320"/>
    <n v="320"/>
    <n v="325"/>
    <n v="0"/>
    <n v="0"/>
    <s v="12.920219,77.610520"/>
    <n v="2.2000000000000002"/>
    <s v="TRYNEW"/>
    <x v="0"/>
    <s v="BTM 1st Stage"/>
    <x v="0"/>
    <n v="0"/>
    <x v="5"/>
    <x v="4"/>
    <s v="BTM"/>
    <n v="80"/>
    <x v="6"/>
    <d v="1899-12-30T13:18:22"/>
    <x v="0"/>
    <x v="0"/>
    <x v="0"/>
  </r>
  <r>
    <n v="174026206595017"/>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s v="21191609"/>
    <x v="0"/>
    <s v="Harikrishna R"/>
    <s v="630473"/>
    <s v="Rasayan"/>
    <s v="652,13th cross,29th main road BTM 2nd stage,560078, Bangalore Karnataka"/>
    <s v="Health Bar"/>
    <s v="Bangalore"/>
    <n v="1927"/>
    <n v="275"/>
    <n v="275"/>
    <n v="275"/>
    <n v="239"/>
    <n v="10"/>
    <n v="0"/>
    <s v="12.907799,77.613487"/>
    <n v="2.5"/>
    <s v="SWIGGYIT"/>
    <x v="0"/>
    <s v="BTM 2nd Stage"/>
    <x v="1"/>
    <n v="0"/>
    <x v="0"/>
    <x v="3"/>
    <s v="BTM"/>
    <n v="23.9"/>
    <x v="6"/>
    <d v="1899-12-30T10:06:46"/>
    <x v="0"/>
    <x v="2"/>
    <x v="0"/>
  </r>
  <r>
    <n v="173972919485563"/>
    <b v="1"/>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s v="21191609"/>
    <x v="0"/>
    <s v="Puran Singh"/>
    <s v="434304"/>
    <s v="Paris Panini - Gourmet Sandwiches &amp; Wraps"/>
    <s v="No.690/A, 14th Main, 100ft Road, JP Nagar 2nd Phase, Bangalore 560078."/>
    <s v="JP Nagar"/>
    <s v="Bangalore"/>
    <n v="2041"/>
    <n v="334"/>
    <n v="334"/>
    <n v="334"/>
    <n v="385"/>
    <n v="42"/>
    <n v="0"/>
    <s v="12.90649867,77.59165435"/>
    <n v="2.1"/>
    <s v="SWIGGYIT"/>
    <x v="0"/>
    <s v="JP Nagar"/>
    <x v="0"/>
    <n v="0"/>
    <x v="0"/>
    <x v="0"/>
    <s v="JP Nagar"/>
    <n v="100"/>
    <x v="7"/>
    <d v="1899-12-30T19:18:39"/>
    <x v="1"/>
    <x v="3"/>
    <x v="0"/>
  </r>
  <r>
    <n v="173961191807457"/>
    <b v="0"/>
    <s v=""/>
    <s v=""/>
    <s v="2024-05-06 16:03:12"/>
    <s v="2024-05-06 16:03:45"/>
    <s v="21191609"/>
    <x v="0"/>
    <s v="Ash Narayan Das"/>
    <s v="694704"/>
    <s v="Love And Crumble"/>
    <s v="NO 307, LALEHZAR APARTMENTS PALACE ROAD SHIVAJINAGARA B.B.M.P EAST KARNATAKA"/>
    <s v="Lalehzar Apartments Palace Road"/>
    <s v="Bangalore"/>
    <n v="4528"/>
    <n v="509"/>
    <n v="509"/>
    <n v="509"/>
    <n v="370"/>
    <n v="0"/>
    <n v="0"/>
    <s v="12.98505012,77.5880017"/>
    <n v="10.199999999999999"/>
    <s v=""/>
    <x v="0"/>
    <s v="Malleshwaram"/>
    <x v="1"/>
    <n v="0"/>
    <x v="1"/>
    <x v="8"/>
    <s v="Malleshwaram"/>
    <n v="0"/>
    <x v="7"/>
    <d v="1899-12-30T16:03:12"/>
    <x v="1"/>
    <x v="3"/>
    <x v="0"/>
  </r>
  <r>
    <n v="173953404362535"/>
    <b v="1"/>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s v="21191609"/>
    <x v="0"/>
    <s v="MRITYUNJAY HALDER"/>
    <s v="34381"/>
    <s v="Firangi Bake"/>
    <s v="No 87/15/638/2 Nanjappa garden, Katha no - 1785/87/15/638/2, Arekere Village, begur hobali, Bangalore South taluk, Bangalore - 560076"/>
    <s v="Begur Hobali"/>
    <s v="Bangalore"/>
    <n v="3728"/>
    <n v="556"/>
    <n v="556"/>
    <n v="556"/>
    <n v="624"/>
    <n v="48"/>
    <n v="0"/>
    <s v="12.885643,77.602120"/>
    <n v="3.4"/>
    <s v="DEALICIOUS"/>
    <x v="0"/>
    <s v="Arekere"/>
    <x v="0"/>
    <n v="0"/>
    <x v="3"/>
    <x v="4"/>
    <s v="Arekere"/>
    <n v="124.99"/>
    <x v="7"/>
    <d v="1899-12-30T13:53:24"/>
    <x v="1"/>
    <x v="0"/>
    <x v="0"/>
  </r>
  <r>
    <n v="173934793528823"/>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s v="21191609"/>
    <x v="0"/>
    <s v="THARUN N"/>
    <s v="630473"/>
    <s v="Rasayan"/>
    <s v="652,13th cross,29th main road BTM 2nd stage,560078, Bangalore Karnataka"/>
    <s v="Health Bar"/>
    <s v="Bangalore"/>
    <n v="2470"/>
    <n v="242"/>
    <n v="242"/>
    <n v="242"/>
    <n v="239"/>
    <n v="43"/>
    <n v="0"/>
    <s v="12.907799,77.613487"/>
    <n v="2.5"/>
    <s v="SWIGGYIT"/>
    <x v="0"/>
    <s v="BTM 2nd Stage"/>
    <x v="0"/>
    <n v="0"/>
    <x v="0"/>
    <x v="3"/>
    <s v="BTM"/>
    <n v="23.9"/>
    <x v="7"/>
    <d v="1899-12-30T08:43:13"/>
    <x v="1"/>
    <x v="2"/>
    <x v="0"/>
  </r>
  <r>
    <n v="173886476249693"/>
    <b v="1"/>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s v="21191609"/>
    <x v="0"/>
    <s v="SrinivasSrini "/>
    <s v="630473"/>
    <s v="Rasayan"/>
    <s v="652,13th cross,29th main road BTM 2nd stage,560078, Bangalore Karnataka"/>
    <s v="Health Bar"/>
    <s v="Bangalore"/>
    <n v="1594"/>
    <n v="487"/>
    <n v="487"/>
    <n v="487"/>
    <n v="478"/>
    <n v="36"/>
    <n v="0"/>
    <s v="12.907799,77.613487"/>
    <n v="2.5"/>
    <s v="SWIGGYIT"/>
    <x v="0"/>
    <s v="BTM 2nd Stage"/>
    <x v="1"/>
    <n v="0"/>
    <x v="0"/>
    <x v="3"/>
    <s v="BTM"/>
    <n v="40"/>
    <x v="8"/>
    <d v="1899-12-30T19:17:56"/>
    <x v="5"/>
    <x v="3"/>
    <x v="0"/>
  </r>
  <r>
    <n v="173848012476255"/>
    <b v="1"/>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s v="21191609"/>
    <x v="0"/>
    <s v="Rajesh Kumar"/>
    <s v="630473"/>
    <s v="Rasayan"/>
    <s v="652,13th cross,29th main road BTM 2nd stage,560078, Bangalore Karnataka"/>
    <s v="Health Bar"/>
    <s v="Bangalore"/>
    <n v="2999"/>
    <n v="392"/>
    <n v="392"/>
    <n v="392"/>
    <n v="498"/>
    <n v="43"/>
    <n v="0"/>
    <s v="12.907799,77.613487"/>
    <n v="2.5"/>
    <s v="JUMBO"/>
    <x v="0"/>
    <s v="BTM 2nd Stage"/>
    <x v="0"/>
    <n v="0"/>
    <x v="6"/>
    <x v="3"/>
    <s v="BTM"/>
    <n v="149.4"/>
    <x v="8"/>
    <d v="1899-12-30T08:36:52"/>
    <x v="5"/>
    <x v="2"/>
    <x v="0"/>
  </r>
  <r>
    <n v="173787961265182"/>
    <b v="1"/>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x v="0"/>
    <s v="Surendra J"/>
    <s v="534276"/>
    <s v="Naalnaad Mane"/>
    <s v="16,2ND FLOOR GOWRY'S BUILDING,ABOVE DOMINO'S,SY NO 13 OF AREKERE VILLAGE,BANNERGHATTA,BANGLAORE,jayanagar,B.B.M.PM south, karnataka - 560076"/>
    <s v="Mico Layout"/>
    <s v="Bangalore"/>
    <n v="2684"/>
    <n v="680"/>
    <n v="680"/>
    <n v="680"/>
    <n v="660"/>
    <n v="33"/>
    <n v="0"/>
    <s v="12.89009167,77.5976944"/>
    <n v="2.7"/>
    <s v="TRYNEW"/>
    <x v="0"/>
    <s v="Arekere"/>
    <x v="1"/>
    <n v="0"/>
    <x v="5"/>
    <x v="6"/>
    <s v="Arekere"/>
    <n v="44.99"/>
    <x v="9"/>
    <d v="1899-12-30T15:56:01"/>
    <x v="2"/>
    <x v="0"/>
    <x v="0"/>
  </r>
  <r>
    <n v="173627120783219"/>
    <b v="1"/>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s v="21191609"/>
    <x v="0"/>
    <s v="KAMAL CHETRY"/>
    <s v="35953"/>
    <s v="Homely"/>
    <s v="No. 135/14, 100ft Ring Road, 15th Cross, J.P.Nagar, 3rd Phase, Bengaluru.560076"/>
    <s v="3rd Phase"/>
    <s v="Bangalore"/>
    <n v="1654"/>
    <n v="214"/>
    <n v="214"/>
    <n v="214"/>
    <n v="239"/>
    <n v="54"/>
    <n v="0"/>
    <s v="12.906291,77.596256"/>
    <n v="1.6"/>
    <s v="MISSEDYOU"/>
    <x v="1"/>
    <s v="JP Nagar"/>
    <x v="1"/>
    <n v="2"/>
    <x v="2"/>
    <x v="9"/>
    <s v="JP Nagar"/>
    <n v="60"/>
    <x v="10"/>
    <d v="1899-12-30T19:15:20"/>
    <x v="6"/>
    <x v="3"/>
    <x v="1"/>
  </r>
  <r>
    <n v="173528899495632"/>
    <b v="1"/>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s v="21191609"/>
    <x v="0"/>
    <s v="Sakti Prasad Sundaray"/>
    <s v="434304"/>
    <s v="Paris Panini - Gourmet Sandwiches &amp; Wraps"/>
    <s v="No.690/A, 14th Main, 100ft Road, JP Nagar 2nd Phase, Bangalore 560078."/>
    <s v="JP Nagar"/>
    <s v="Bangalore"/>
    <n v="2161"/>
    <n v="696"/>
    <n v="696"/>
    <n v="696"/>
    <n v="680"/>
    <n v="36"/>
    <n v="0"/>
    <s v="12.90649867,77.59165435"/>
    <n v="2.1"/>
    <s v="TRYNEW"/>
    <x v="0"/>
    <s v="JP Nagar"/>
    <x v="0"/>
    <n v="0"/>
    <x v="5"/>
    <x v="0"/>
    <s v="JP Nagar"/>
    <n v="99.99"/>
    <x v="11"/>
    <d v="1899-12-30T15:58:19"/>
    <x v="4"/>
    <x v="0"/>
    <x v="0"/>
  </r>
  <r>
    <n v="173508364352211"/>
    <b v="1"/>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s v="21191609"/>
    <x v="0"/>
    <s v="Shaik Yaseen"/>
    <s v="630473"/>
    <s v="Rasayan"/>
    <s v="652,13th cross,29th main road BTM 2nd stage,560078, Bangalore Karnataka"/>
    <s v="Health Bar"/>
    <s v="Bangalore"/>
    <n v="2775"/>
    <n v="399"/>
    <n v="399"/>
    <n v="399"/>
    <n v="496"/>
    <n v="43"/>
    <n v="0"/>
    <s v="12.907799,77.613487"/>
    <n v="2.5"/>
    <s v="JUMBO"/>
    <x v="0"/>
    <s v="BTM 2nd Stage"/>
    <x v="0"/>
    <n v="0"/>
    <x v="6"/>
    <x v="3"/>
    <s v="BTM"/>
    <n v="148.80000000000001"/>
    <x v="11"/>
    <d v="1899-12-30T10:16:04"/>
    <x v="4"/>
    <x v="2"/>
    <x v="0"/>
  </r>
  <r>
    <n v="173162395766364"/>
    <b v="1"/>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s v="21191609"/>
    <x v="0"/>
    <s v="RIYAZ AHMED"/>
    <s v="630473"/>
    <s v="Rasayan"/>
    <s v="652,13th cross,29th main road BTM 2nd stage,560078, Bangalore Karnataka"/>
    <s v="Health Bar"/>
    <s v="Bangalore"/>
    <n v="2197"/>
    <n v="489"/>
    <n v="489"/>
    <n v="489"/>
    <n v="580"/>
    <n v="43"/>
    <n v="0"/>
    <s v="12.907799,77.613487"/>
    <n v="2.5"/>
    <s v="JUMBO"/>
    <x v="0"/>
    <s v="BTM 2nd Stage"/>
    <x v="0"/>
    <n v="0"/>
    <x v="6"/>
    <x v="3"/>
    <s v="BTM"/>
    <n v="149.99"/>
    <x v="12"/>
    <d v="1899-12-30T10:09:55"/>
    <x v="2"/>
    <x v="2"/>
    <x v="0"/>
  </r>
  <r>
    <n v="173162271836174"/>
    <b v="0"/>
    <s v=""/>
    <s v=""/>
    <s v="2024-04-27 10:07:51"/>
    <s v="2024-04-27 10:08:09"/>
    <s v="21191609"/>
    <x v="1"/>
    <n v="0"/>
    <s v="630473"/>
    <s v="Rasayan"/>
    <s v="652,13th cross,29th main road BTM 2nd stage,560078, Bangalore Karnataka"/>
    <s v="Health Bar"/>
    <s v="Bangalore"/>
    <n v="0"/>
    <n v="646"/>
    <n v="646"/>
    <n v="646"/>
    <n v="580"/>
    <n v="43"/>
    <n v="0"/>
    <s v="12.907799,77.613487"/>
    <n v="1.9"/>
    <s v=""/>
    <x v="0"/>
    <s v="BTM 2nd Stage"/>
    <x v="0"/>
    <n v="0"/>
    <x v="1"/>
    <x v="3"/>
    <s v="BTM"/>
    <n v="0"/>
    <x v="12"/>
    <d v="1899-12-30T10:07:51"/>
    <x v="2"/>
    <x v="2"/>
    <x v="0"/>
  </r>
  <r>
    <n v="173021459533483"/>
    <b v="1"/>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s v="21191609"/>
    <x v="0"/>
    <s v="RAJESH CHETRY"/>
    <s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x v="0"/>
    <s v="Bellandur"/>
    <x v="1"/>
    <n v="0"/>
    <x v="5"/>
    <x v="10"/>
    <s v="Bellandur"/>
    <n v="75"/>
    <x v="13"/>
    <d v="1899-12-30T19:00:59"/>
    <x v="6"/>
    <x v="3"/>
    <x v="0"/>
  </r>
  <r>
    <n v="172937451496694"/>
    <b v="1"/>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s v="21191609"/>
    <x v="0"/>
    <s v="K Babu"/>
    <s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x v="0"/>
    <s v="Bellandur Sarjapur"/>
    <x v="1"/>
    <n v="0"/>
    <x v="2"/>
    <x v="0"/>
    <s v="Bellandur"/>
    <n v="100"/>
    <x v="14"/>
    <d v="1899-12-30T19:40:51"/>
    <x v="4"/>
    <x v="3"/>
    <x v="0"/>
  </r>
  <r>
    <n v="172865582370674"/>
    <b v="1"/>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s v="21191609"/>
    <x v="0"/>
    <s v="Kapsi Mohammed Tufail"/>
    <s v="29349"/>
    <s v="Frozen Bottle - Milkshakes, Desserts And Ice Cream"/>
    <s v="88, Celler Floor, 17th Cross, 14th main, Sector - 4, HSR, Bangalore"/>
    <s v="HSR Layout"/>
    <s v="Bangalore"/>
    <n v="1985"/>
    <n v="301"/>
    <n v="301"/>
    <n v="301"/>
    <n v="289"/>
    <n v="50"/>
    <n v="0"/>
    <s v="12.91233118,77.63839138"/>
    <n v="1.7"/>
    <s v="SWIGGYIT"/>
    <x v="0"/>
    <s v="HSR Layout"/>
    <x v="1"/>
    <n v="0"/>
    <x v="0"/>
    <x v="11"/>
    <s v="HSR"/>
    <n v="50"/>
    <x v="15"/>
    <d v="1899-12-30T23:43:02"/>
    <x v="0"/>
    <x v="1"/>
    <x v="0"/>
  </r>
  <r>
    <n v="172849812190412"/>
    <b v="1"/>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s v="21191609"/>
    <x v="0"/>
    <s v="ANSHUMAN DAS"/>
    <s v="34366"/>
    <s v="Firangi Bake"/>
    <s v="SHOP NO 2318,HSR LAYOUT SECTOR ONE,NEAR NIFT COLLEGE,BANGALORE"/>
    <s v="Near NIFT College, Sector 1"/>
    <s v="Bangalore"/>
    <n v="1375"/>
    <n v="310"/>
    <n v="310"/>
    <n v="310"/>
    <n v="325"/>
    <n v="35"/>
    <n v="0"/>
    <s v="12.912101,77.65163400000006"/>
    <n v="0.8"/>
    <s v="TRYNEW"/>
    <x v="0"/>
    <s v="HSR Layout"/>
    <x v="0"/>
    <n v="0"/>
    <x v="5"/>
    <x v="4"/>
    <s v="HSR"/>
    <n v="60"/>
    <x v="15"/>
    <d v="1899-12-30T19:20:12"/>
    <x v="0"/>
    <x v="3"/>
    <x v="0"/>
  </r>
  <r>
    <n v="172765721740638"/>
    <b v="1"/>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s v="21191609"/>
    <x v="0"/>
    <s v="SUSHIL MANDAL"/>
    <s v="17036"/>
    <s v="Leon's - Burgers &amp; Wings (Leon Grill)"/>
    <s v="No.17, Ground Floor, 18th Cross Road, 3rd Sector, HSR Layout, Bangalore."/>
    <s v="HSR Layout"/>
    <s v="Bangalore"/>
    <n v="1703"/>
    <n v="724"/>
    <n v="724"/>
    <n v="724"/>
    <n v="797.57"/>
    <n v="35"/>
    <n v="0"/>
    <s v="12.91181131,77.64374963"/>
    <n v="1.6"/>
    <s v="MDM150"/>
    <x v="0"/>
    <s v="HSR Layout"/>
    <x v="0"/>
    <n v="0"/>
    <x v="4"/>
    <x v="12"/>
    <s v="HSR"/>
    <n v="150"/>
    <x v="16"/>
    <d v="1899-12-30T19:58:41"/>
    <x v="1"/>
    <x v="3"/>
    <x v="0"/>
  </r>
  <r>
    <n v="172415621290914"/>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s v="21191609"/>
    <x v="0"/>
    <s v="Kundan"/>
    <s v="17036"/>
    <s v="Leon's - Burgers &amp; Wings (Leon Grill)"/>
    <s v="No.17, Ground Floor, 18th Cross Road, 3rd Sector, HSR Layout, Bangalore."/>
    <s v="HSR Layout"/>
    <s v="Bangalore"/>
    <n v="1726"/>
    <n v="252"/>
    <n v="252"/>
    <n v="252"/>
    <n v="349"/>
    <n v="31"/>
    <n v="0"/>
    <s v="12.91181131,77.64374963"/>
    <n v="0.9"/>
    <s v="MDM150"/>
    <x v="0"/>
    <s v="HSR Layout"/>
    <x v="1"/>
    <n v="0"/>
    <x v="4"/>
    <x v="12"/>
    <s v="HSR"/>
    <n v="150"/>
    <x v="17"/>
    <d v="1899-12-30T18:43:41"/>
    <x v="6"/>
    <x v="3"/>
    <x v="0"/>
  </r>
  <r>
    <n v="1711202363535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s v="21191609"/>
    <x v="0"/>
    <s v="chandan  K"/>
    <s v="17036"/>
    <s v="Leon's - Burgers &amp; Wings (Leon Grill)"/>
    <s v="No.17, Ground Floor, 18th Cross Road, 3rd Sector, HSR Layout, Bangalore."/>
    <s v="HSR Layout"/>
    <s v="Bangalore"/>
    <n v="836"/>
    <n v="252"/>
    <n v="252"/>
    <n v="252"/>
    <n v="349"/>
    <n v="29"/>
    <n v="0"/>
    <s v="12.91181131,77.64374963"/>
    <n v="0.2"/>
    <s v="MDM150"/>
    <x v="0"/>
    <s v="HSR Layout"/>
    <x v="1"/>
    <n v="0"/>
    <x v="4"/>
    <x v="12"/>
    <s v="HSR"/>
    <n v="150"/>
    <x v="18"/>
    <d v="1899-12-30T18:53:56"/>
    <x v="4"/>
    <x v="3"/>
    <x v="0"/>
  </r>
  <r>
    <n v="1709491813424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s v="21191609"/>
    <x v="0"/>
    <s v="Noor Azam"/>
    <s v="17036"/>
    <s v="Leon's - Burgers &amp; Wings (Leon Grill)"/>
    <s v="No.17, Ground Floor, 18th Cross Road, 3rd Sector, HSR Layout, Bangalore."/>
    <s v="HSR Layout"/>
    <s v="Bangalore"/>
    <n v="2224"/>
    <n v="252"/>
    <n v="252"/>
    <n v="252"/>
    <n v="349"/>
    <n v="34"/>
    <n v="0"/>
    <s v="12.91181131,77.64374963"/>
    <n v="1.6"/>
    <s v="MDM150"/>
    <x v="1"/>
    <s v="HSR Layout"/>
    <x v="0"/>
    <n v="0"/>
    <x v="4"/>
    <x v="12"/>
    <s v="HSR"/>
    <n v="150"/>
    <x v="19"/>
    <d v="1899-12-30T19:23:01"/>
    <x v="1"/>
    <x v="3"/>
    <x v="0"/>
  </r>
  <r>
    <n v="170849767634192"/>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s v="21191609"/>
    <x v="0"/>
    <s v="Bharath R"/>
    <s v="17036"/>
    <s v="Leon's - Burgers &amp; Wings (Leon Grill)"/>
    <s v="No.17, Ground Floor, 18th Cross Road, 3rd Sector, HSR Layout, Bangalore."/>
    <s v="HSR Layout"/>
    <s v="Bangalore"/>
    <n v="854"/>
    <n v="252"/>
    <n v="252"/>
    <n v="252"/>
    <n v="349"/>
    <n v="30"/>
    <n v="0"/>
    <s v="12.91181131,77.64374963"/>
    <n v="1.6"/>
    <s v="MDM150"/>
    <x v="0"/>
    <s v="HSR Layout"/>
    <x v="1"/>
    <n v="0"/>
    <x v="4"/>
    <x v="12"/>
    <s v="HSR"/>
    <n v="150"/>
    <x v="20"/>
    <d v="1899-12-30T15:46:07"/>
    <x v="5"/>
    <x v="0"/>
    <x v="0"/>
  </r>
  <r>
    <n v="170326417874188"/>
    <b v="1"/>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s v="21191609"/>
    <x v="0"/>
    <s v="MAHESH BABU"/>
    <s v="2675"/>
    <s v="Subway"/>
    <s v="36, 3rd Store, 7th Sector, 14th main, HSR Layout"/>
    <s v="7th Sector"/>
    <s v="Bangalore"/>
    <n v="779"/>
    <n v="252"/>
    <n v="252"/>
    <n v="252"/>
    <n v="300"/>
    <n v="32"/>
    <n v="0"/>
    <s v="12.9118135,77.637958"/>
    <n v="0.6"/>
    <s v="SWIGGYIT"/>
    <x v="0"/>
    <s v="HSR Layout"/>
    <x v="1"/>
    <n v="0"/>
    <x v="0"/>
    <x v="13"/>
    <s v="HSR"/>
    <n v="80"/>
    <x v="21"/>
    <d v="1899-12-30T14:23:37"/>
    <x v="1"/>
    <x v="0"/>
    <x v="0"/>
  </r>
  <r>
    <n v="169997934599848"/>
    <b v="1"/>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s v="21191609"/>
    <x v="0"/>
    <s v="Kumar P "/>
    <s v="2675"/>
    <s v="Subway"/>
    <s v="36, 3rd Store, 7th Sector, 14th main, HSR Layout"/>
    <s v="7th Sector"/>
    <s v="Bangalore"/>
    <n v="2901"/>
    <n v="596"/>
    <n v="596"/>
    <n v="596"/>
    <n v="649"/>
    <n v="34"/>
    <n v="0"/>
    <s v="12.9118135,77.637958"/>
    <n v="1.9"/>
    <s v="FLATDEAL"/>
    <x v="0"/>
    <s v="HSR Layout"/>
    <x v="0"/>
    <n v="0"/>
    <x v="7"/>
    <x v="13"/>
    <s v="HSR"/>
    <n v="99.99"/>
    <x v="22"/>
    <d v="1899-12-30T19:08:54"/>
    <x v="6"/>
    <x v="3"/>
    <x v="0"/>
  </r>
  <r>
    <n v="169054716176265"/>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s v="21191609"/>
    <x v="0"/>
    <s v="Subrath Panda"/>
    <s v="2675"/>
    <s v="Subway"/>
    <s v="36, 3rd Store, 7th Sector, 14th main, HSR Layout"/>
    <s v="7th Sector"/>
    <s v="Bangalore"/>
    <n v="4130"/>
    <n v="251"/>
    <n v="251"/>
    <n v="251"/>
    <n v="300"/>
    <n v="57"/>
    <n v="0"/>
    <s v="12.9118135,77.637958"/>
    <n v="1.9"/>
    <s v="SWIGGYIT"/>
    <x v="0"/>
    <s v="HSR Layout"/>
    <x v="0"/>
    <n v="0"/>
    <x v="0"/>
    <x v="13"/>
    <s v="HSR"/>
    <n v="80"/>
    <x v="23"/>
    <d v="1899-12-30T21:08:36"/>
    <x v="5"/>
    <x v="1"/>
    <x v="0"/>
  </r>
  <r>
    <n v="168959031219038"/>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s v="21191609"/>
    <x v="0"/>
    <s v="Sreedhar V"/>
    <s v="2675"/>
    <s v="Subway"/>
    <s v="36, 3rd Store, 7th Sector, 14th main, HSR Layout"/>
    <s v="7th Sector"/>
    <s v="Bangalore"/>
    <n v="864"/>
    <n v="302"/>
    <n v="302"/>
    <n v="302"/>
    <n v="349"/>
    <n v="32"/>
    <n v="0"/>
    <s v="12.9118135,77.637958"/>
    <n v="1.9"/>
    <s v="SWIGGYIT"/>
    <x v="0"/>
    <s v="HSR Layout"/>
    <x v="1"/>
    <n v="0"/>
    <x v="0"/>
    <x v="13"/>
    <s v="HSR"/>
    <n v="80"/>
    <x v="24"/>
    <d v="1899-12-30T18:33:51"/>
    <x v="2"/>
    <x v="3"/>
    <x v="0"/>
  </r>
  <r>
    <n v="168877172918547"/>
    <b v="0"/>
    <s v=""/>
    <s v=""/>
    <s v="2024-03-08 19:49:32"/>
    <s v="2024-03-08 19:49:59"/>
    <s v="21191609"/>
    <x v="0"/>
    <s v="BIRENDRA DHAMI"/>
    <s v="464830"/>
    <s v="Bowl Soul"/>
    <s v="No 526/A,Ganesh Complex,Ground floor,18th Main Road,HSR 3rd sector,Bangalore:560102"/>
    <s v="3rd Sector"/>
    <s v="Bangalore"/>
    <n v="2660"/>
    <n v="154"/>
    <n v="154"/>
    <n v="154"/>
    <n v="249"/>
    <n v="36"/>
    <n v="0"/>
    <s v="12.9054065,77.64410799999996"/>
    <n v="1.8"/>
    <s v=""/>
    <x v="0"/>
    <s v="HSR Layout"/>
    <x v="0"/>
    <n v="0"/>
    <x v="1"/>
    <x v="14"/>
    <s v="HSR"/>
    <n v="0"/>
    <x v="25"/>
    <d v="1899-12-30T19:49:32"/>
    <x v="3"/>
    <x v="3"/>
    <x v="0"/>
  </r>
  <r>
    <n v="168622214022977"/>
    <b v="1"/>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s v="21191609"/>
    <x v="0"/>
    <s v="bhagyavanth "/>
    <s v="2675"/>
    <s v="Subway"/>
    <s v="36, 3rd Store, 7th Sector, 14th main, HSR Layout"/>
    <s v="7th Sector"/>
    <s v="Bangalore"/>
    <n v="2107"/>
    <n v="302"/>
    <n v="302"/>
    <n v="302"/>
    <n v="349"/>
    <n v="36"/>
    <n v="0"/>
    <s v="12.9118135,77.637958"/>
    <n v="1.7"/>
    <s v="SWIGGYIT"/>
    <x v="0"/>
    <s v="HSR Layout"/>
    <x v="1"/>
    <n v="0"/>
    <x v="0"/>
    <x v="13"/>
    <s v="HSR"/>
    <n v="80"/>
    <x v="26"/>
    <d v="1899-12-30T21:00:14"/>
    <x v="0"/>
    <x v="1"/>
    <x v="0"/>
  </r>
  <r>
    <n v="168513609258675"/>
    <b v="0"/>
    <s v=""/>
    <s v=""/>
    <s v="2024-03-04 14:50:09"/>
    <s v="2024-03-04 14:50:43"/>
    <s v="21191609"/>
    <x v="0"/>
    <s v="BHARKATH ALI A"/>
    <s v="18973"/>
    <s v="Nandhana Palace"/>
    <s v="Koramangala, 7, Mahakavi Vemana Rd, KHB Block Koramangala, Koramangala 4-B Block, Koramangala, Bengaluru, Karnataka 560034"/>
    <s v="Koramangala"/>
    <s v="Bangalore"/>
    <n v="3667"/>
    <n v="537"/>
    <n v="537"/>
    <n v="537"/>
    <n v="525"/>
    <n v="44"/>
    <n v="0"/>
    <s v="12.93171741,77.6229908"/>
    <n v="4.8"/>
    <s v=""/>
    <x v="0"/>
    <s v="Koramangala"/>
    <x v="0"/>
    <n v="0"/>
    <x v="1"/>
    <x v="1"/>
    <s v="Koramangala"/>
    <n v="0"/>
    <x v="27"/>
    <d v="1899-12-30T14:50:09"/>
    <x v="1"/>
    <x v="0"/>
    <x v="0"/>
  </r>
  <r>
    <n v="168438354785516"/>
    <b v="0"/>
    <s v=""/>
    <s v=""/>
    <s v="2024-03-03 17:55:54"/>
    <s v="2024-03-03 17:56:20"/>
    <s v="21191609"/>
    <x v="0"/>
    <s v="KESHAV RAJ BHATTA"/>
    <s v="254655"/>
    <s v="Daily Sushi"/>
    <s v="No.1212, SBM Fortune, 4th Floor, 22nd Cross Road, 14th Main Rd, 3rd Sector, HSR Layout, Bengaluru, Karnataka 560102, India"/>
    <s v="3rd Sector"/>
    <s v="Bangalore"/>
    <n v="1348"/>
    <n v="466"/>
    <n v="466"/>
    <n v="466"/>
    <n v="400"/>
    <n v="39"/>
    <n v="0"/>
    <s v="12.90942041,77.63866215"/>
    <n v="2.1"/>
    <s v=""/>
    <x v="0"/>
    <s v="HSR Layout"/>
    <x v="1"/>
    <n v="0"/>
    <x v="1"/>
    <x v="5"/>
    <s v="HSR"/>
    <n v="0"/>
    <x v="28"/>
    <d v="1899-12-30T17:55:54"/>
    <x v="5"/>
    <x v="3"/>
    <x v="0"/>
  </r>
  <r>
    <n v="168293863851738"/>
    <b v="0"/>
    <s v=""/>
    <s v=""/>
    <s v="2024-03-02 01:47:43"/>
    <s v="2024-03-02 01:49:00"/>
    <s v="21191609"/>
    <x v="0"/>
    <s v="DEBAJIT SAHA "/>
    <s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x v="0"/>
    <s v="Yelahanka"/>
    <x v="1"/>
    <n v="0"/>
    <x v="1"/>
    <x v="15"/>
    <s v="Yelahanka"/>
    <n v="0"/>
    <x v="29"/>
    <d v="1899-12-30T01:47:43"/>
    <x v="2"/>
    <x v="4"/>
    <x v="0"/>
  </r>
  <r>
    <n v="168028113662672"/>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s v="21191609"/>
    <x v="0"/>
    <s v="Md Majir Uddin Hachayini"/>
    <s v="647582"/>
    <s v="Smoky Docky"/>
    <s v="130, 17th H Main Rd, KHB Colony, M.I.G, 5th Block, Koramangala, Bengaluru, Karnataka 560095, India"/>
    <s v="Koramangala"/>
    <s v="Bangalore"/>
    <n v="1074"/>
    <n v="212"/>
    <n v="212"/>
    <n v="212"/>
    <n v="209"/>
    <n v="66"/>
    <n v="0"/>
    <s v="12.934678,77.616812"/>
    <n v="5.9"/>
    <s v="SWIGGYIT"/>
    <x v="0"/>
    <s v="Koramangala"/>
    <x v="1"/>
    <n v="0"/>
    <x v="0"/>
    <x v="16"/>
    <s v="Koramangala"/>
    <n v="20.9"/>
    <x v="30"/>
    <d v="1899-12-30T23:58:33"/>
    <x v="0"/>
    <x v="1"/>
    <x v="0"/>
  </r>
  <r>
    <n v="168013539245633"/>
    <b v="1"/>
    <s v="SWIGGYIT"/>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s v="21191609"/>
    <x v="0"/>
    <s v="Dipak Basnet"/>
    <s v="656392"/>
    <s v="Subway"/>
    <s v="CNA Arcade, Ground Floor, No. 37, 1st Main, 1st Block, Koramangala, Bangalore-560034"/>
    <s v="1st Block"/>
    <s v="Bangalore"/>
    <n v="1143"/>
    <n v="307"/>
    <n v="307"/>
    <n v="307"/>
    <n v="349"/>
    <n v="43"/>
    <n v="0"/>
    <s v="12.928999,77.635218"/>
    <n v="3.4"/>
    <s v="SWIGGYIT"/>
    <x v="0"/>
    <s v="Koramangala"/>
    <x v="1"/>
    <n v="0"/>
    <x v="0"/>
    <x v="13"/>
    <s v="Koramangala"/>
    <n v="75"/>
    <x v="30"/>
    <d v="1899-12-30T19:55:39"/>
    <x v="0"/>
    <x v="3"/>
    <x v="0"/>
  </r>
  <r>
    <n v="167927988529759"/>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s v="21191609"/>
    <x v="0"/>
    <s v="Rajendra Sahoo"/>
    <s v="647582"/>
    <s v="Smoky Docky"/>
    <s v="130, 17th H Main Rd, KHB Colony, M.I.G, 5th Block, Koramangala, Bengaluru, Karnataka 560095, India"/>
    <s v="Koramangala"/>
    <s v="Bangalore"/>
    <n v="2408"/>
    <n v="212"/>
    <n v="212"/>
    <n v="212"/>
    <n v="209"/>
    <n v="60"/>
    <n v="0"/>
    <s v="12.934678,77.616812"/>
    <n v="5.9"/>
    <s v="SWIGGYIT"/>
    <x v="0"/>
    <s v="Koramangala"/>
    <x v="0"/>
    <n v="0"/>
    <x v="0"/>
    <x v="16"/>
    <s v="Koramangala"/>
    <n v="20.9"/>
    <x v="31"/>
    <d v="1899-12-30T20:09:48"/>
    <x v="1"/>
    <x v="1"/>
    <x v="0"/>
  </r>
  <r>
    <n v="167230102604894"/>
    <b v="1"/>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s v="21191609"/>
    <x v="0"/>
    <s v="ChandraSheaker Raju "/>
    <s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x v="0"/>
    <s v="Devarabeesanahalli"/>
    <x v="0"/>
    <n v="0"/>
    <x v="0"/>
    <x v="2"/>
    <s v="Devarabeesanahalli"/>
    <n v="35.700000000000003"/>
    <x v="32"/>
    <d v="1899-12-30T18:18:22"/>
    <x v="5"/>
    <x v="3"/>
    <x v="0"/>
  </r>
  <r>
    <n v="167065261006312"/>
    <b v="0"/>
    <s v=""/>
    <s v=""/>
    <s v="2024-02-16 20:31:01"/>
    <s v="2024-02-16 20:31:06"/>
    <s v="21191609"/>
    <x v="0"/>
    <s v="MUJAHIDUL ISLAM LASKAR"/>
    <s v="254655"/>
    <s v="Daily Sushi"/>
    <s v="No.1212, SBM Fortune, 4th Floor, 22nd Cross Road, 14th Main Rd, 3rd Sector, HSR Layout, Bengaluru, Karnataka 560102, India"/>
    <s v="3rd Sector"/>
    <s v="Bangalore"/>
    <n v="1383"/>
    <n v="650"/>
    <n v="650"/>
    <n v="650"/>
    <n v="560"/>
    <n v="43"/>
    <n v="0"/>
    <s v="12.90942041,77.63866215"/>
    <n v="2"/>
    <s v=""/>
    <x v="1"/>
    <s v="HSR Layout"/>
    <x v="1"/>
    <n v="0"/>
    <x v="1"/>
    <x v="5"/>
    <s v="HSR"/>
    <n v="0"/>
    <x v="33"/>
    <d v="1899-12-30T20:31:01"/>
    <x v="3"/>
    <x v="1"/>
    <x v="0"/>
  </r>
  <r>
    <n v="167041647226680"/>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s v="21191609"/>
    <x v="0"/>
    <s v="Jitendra Kumar Nayak"/>
    <s v="2675"/>
    <s v="Subway"/>
    <s v="36, 3rd Store, 7th Sector, 14th main, HSR Layout"/>
    <s v="7th Sector"/>
    <s v="Bangalore"/>
    <n v="1410"/>
    <n v="302"/>
    <n v="302"/>
    <n v="302"/>
    <n v="349"/>
    <n v="31"/>
    <n v="0"/>
    <s v="12.9118135,77.637958"/>
    <n v="1.9"/>
    <s v="SWIGGYIT"/>
    <x v="0"/>
    <s v="HSR Layout"/>
    <x v="1"/>
    <n v="0"/>
    <x v="0"/>
    <x v="13"/>
    <s v="HSR"/>
    <n v="80"/>
    <x v="33"/>
    <d v="1899-12-30T13:57:27"/>
    <x v="3"/>
    <x v="0"/>
    <x v="0"/>
  </r>
  <r>
    <n v="166952305677312"/>
    <b v="1"/>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s v="21191609"/>
    <x v="0"/>
    <s v="Naresh C"/>
    <s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x v="0"/>
    <s v="Devarabeesanahalli"/>
    <x v="1"/>
    <n v="0"/>
    <x v="0"/>
    <x v="2"/>
    <s v="Devarabeesanahalli"/>
    <n v="40"/>
    <x v="34"/>
    <d v="1899-12-30T13:08:25"/>
    <x v="6"/>
    <x v="0"/>
    <x v="0"/>
  </r>
  <r>
    <n v="166803724653459"/>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s v="21191609"/>
    <x v="0"/>
    <s v="SANJIT TATUA"/>
    <s v="2675"/>
    <s v="Subway"/>
    <s v="36, 3rd Store, 7th Sector, 14th main, HSR Layout"/>
    <s v="7th Sector"/>
    <s v="Bangalore"/>
    <n v="2219"/>
    <n v="198"/>
    <n v="198"/>
    <n v="198"/>
    <n v="250"/>
    <n v="34"/>
    <n v="0"/>
    <s v="12.9118135,77.637958"/>
    <n v="1.9"/>
    <s v="SWIGGYIT"/>
    <x v="0"/>
    <s v="HSR Layout"/>
    <x v="0"/>
    <n v="0"/>
    <x v="0"/>
    <x v="13"/>
    <s v="HSR"/>
    <n v="80"/>
    <x v="35"/>
    <d v="1899-12-30T19:52:04"/>
    <x v="0"/>
    <x v="3"/>
    <x v="0"/>
  </r>
  <r>
    <n v="165960896748502"/>
    <b v="1"/>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s v="21191609"/>
    <x v="0"/>
    <s v="VIVEK KANTU RATHOD"/>
    <s v="418488"/>
    <s v="NOTO - Ice Creams &amp; Desserts"/>
    <s v="#345, kaikondrahalli Sarjapura main road Bangalore 560056, Mahadevpura, B.B.M.P East, Karnataka - 560056"/>
    <s v="Kaikondrahalli"/>
    <s v="Bangalore"/>
    <n v="805"/>
    <n v="115"/>
    <n v="115"/>
    <n v="115"/>
    <n v="186"/>
    <n v="50"/>
    <n v="0"/>
    <s v="12.913087,77.678681"/>
    <n v="4.4000000000000004"/>
    <s v="TRYNEW"/>
    <x v="0"/>
    <s v="Bellandur Sarjapur"/>
    <x v="1"/>
    <n v="0"/>
    <x v="5"/>
    <x v="17"/>
    <s v="Bellandur"/>
    <n v="111.6"/>
    <x v="36"/>
    <d v="1899-12-30T01:44:56"/>
    <x v="5"/>
    <x v="4"/>
    <x v="0"/>
  </r>
  <r>
    <n v="165923274381702"/>
    <b v="0"/>
    <s v=""/>
    <s v=""/>
    <s v="2024-02-03 15:17:54"/>
    <s v="2024-02-03 15:18:26"/>
    <s v="21191609"/>
    <x v="0"/>
    <s v="Satish kumar"/>
    <s v="422128"/>
    <s v="Baba Ganoush"/>
    <s v="KORMANGALA, 6th block, 80ft main road Shop no 2, NA chambers 2 , 478, 6th Block, Koramangala, Bengaluru, Karnataka 560095, India"/>
    <s v="6th Block"/>
    <s v="Bangalore"/>
    <n v="1851"/>
    <n v="222"/>
    <n v="222"/>
    <n v="222"/>
    <n v="199"/>
    <n v="46"/>
    <n v="0"/>
    <s v="12.9398836,77.6252951"/>
    <n v="5"/>
    <s v=""/>
    <x v="0"/>
    <s v="Koramangala"/>
    <x v="0"/>
    <n v="0"/>
    <x v="1"/>
    <x v="18"/>
    <s v="Koramangala"/>
    <n v="0"/>
    <x v="37"/>
    <d v="1899-12-30T15:17:54"/>
    <x v="2"/>
    <x v="0"/>
    <x v="0"/>
  </r>
  <r>
    <n v="165854296189400"/>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s v="21191609"/>
    <x v="0"/>
    <s v="yogeesha s"/>
    <s v="647582"/>
    <s v="Smoky Docky"/>
    <s v="130, 17th H Main Rd, KHB Colony, M.I.G, 5th Block, Koramangala, Bengaluru, Karnataka 560095, India"/>
    <s v="KHB Colony"/>
    <s v="Bangalore"/>
    <n v="3484"/>
    <n v="212"/>
    <n v="212"/>
    <n v="212"/>
    <n v="209"/>
    <n v="56"/>
    <n v="0"/>
    <s v="12.934678,77.616812"/>
    <n v="5.9"/>
    <s v="SWIGGYIT"/>
    <x v="0"/>
    <s v="Koramangala"/>
    <x v="0"/>
    <n v="0"/>
    <x v="0"/>
    <x v="16"/>
    <s v="Koramangala"/>
    <n v="20.9"/>
    <x v="38"/>
    <d v="1899-12-30T20:08:16"/>
    <x v="3"/>
    <x v="1"/>
    <x v="0"/>
  </r>
  <r>
    <n v="165409130967084"/>
    <b v="0"/>
    <s v=""/>
    <s v=""/>
    <s v="2024-01-28 16:28:50"/>
    <s v="2024-01-28 16:28:56"/>
    <s v="21191609"/>
    <x v="0"/>
    <s v="JAGANNATH MOHANTA"/>
    <s v="647582"/>
    <s v="Smoky Docky"/>
    <s v="130, 17th H Main Rd, KHB Colony, M.I.G, 5th Block, Koramangala, Bengaluru, Karnataka 560095, India"/>
    <s v="KHB Colony"/>
    <s v="Bangalore"/>
    <n v="1732"/>
    <n v="233"/>
    <n v="233"/>
    <n v="233"/>
    <n v="209"/>
    <n v="62"/>
    <n v="0"/>
    <s v="12.934678,77.616812"/>
    <n v="5.9"/>
    <s v=""/>
    <x v="1"/>
    <s v="Koramangala"/>
    <x v="1"/>
    <n v="0"/>
    <x v="1"/>
    <x v="16"/>
    <s v="Koramangala"/>
    <n v="0"/>
    <x v="39"/>
    <d v="1899-12-30T16:28:50"/>
    <x v="5"/>
    <x v="3"/>
    <x v="0"/>
  </r>
  <r>
    <n v="165341581288776"/>
    <b v="1"/>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s v="21191609"/>
    <x v="0"/>
    <n v="0"/>
    <s v="23805"/>
    <s v="Domino's Pizza"/>
    <s v="Ground Floor, # 1573, Sector 1(Agara), HSR Layout,,Bangalore - 560102"/>
    <s v="1st Sector"/>
    <s v="Bangalore"/>
    <n v="1409"/>
    <n v="599"/>
    <n v="599"/>
    <n v="599"/>
    <n v="578"/>
    <n v="0"/>
    <n v="0"/>
    <s v="12.923037,77.646448"/>
    <n v="0"/>
    <s v="SWIGGYIT"/>
    <x v="0"/>
    <s v="HSR Layout"/>
    <x v="0"/>
    <n v="0"/>
    <x v="0"/>
    <x v="19"/>
    <s v="HSR"/>
    <n v="50"/>
    <x v="40"/>
    <d v="1899-12-30T21:43:01"/>
    <x v="2"/>
    <x v="1"/>
    <x v="0"/>
  </r>
  <r>
    <n v="164743294943602"/>
    <b v="1"/>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s v="21191609"/>
    <x v="0"/>
    <s v="RAVI KUMAR MANDAL"/>
    <s v="502673"/>
    <s v="The Belgian Waffle Co."/>
    <s v="Near VI store, 647, 27th main road, sector 2, sector 5, 1st sector HSR Layout, Bengaluru Karnataka - 560102"/>
    <s v="2nd Sector"/>
    <s v="Bangalore"/>
    <n v="1413"/>
    <n v="588"/>
    <n v="588"/>
    <n v="588"/>
    <n v="586.66999999999996"/>
    <n v="36"/>
    <n v="0"/>
    <s v="12.916097,77.65184"/>
    <n v="0.5"/>
    <s v="TRYNEW"/>
    <x v="0"/>
    <s v="HSR Layout"/>
    <x v="1"/>
    <n v="0"/>
    <x v="5"/>
    <x v="20"/>
    <s v="HSR"/>
    <n v="49.99"/>
    <x v="41"/>
    <d v="1899-12-30T23:31:34"/>
    <x v="2"/>
    <x v="1"/>
    <x v="0"/>
  </r>
  <r>
    <n v="164714296625099"/>
    <b v="0"/>
    <s v=""/>
    <s v=""/>
    <s v="2024-01-20 15:28:16"/>
    <s v="2024-01-20 15:28:43"/>
    <s v="21191609"/>
    <x v="0"/>
    <s v="Imdadul Hoque Laskar"/>
    <s v="647582"/>
    <s v="Smoky Docky"/>
    <s v="130, 17th H Main Rd, KHB Colony, M.I.G, 5th Block, Koramangala, Bengaluru, Karnataka 560095, India"/>
    <s v="KHB Colony"/>
    <s v="Bangalore"/>
    <n v="2746"/>
    <n v="233"/>
    <n v="233"/>
    <n v="233"/>
    <n v="209"/>
    <n v="58"/>
    <n v="0"/>
    <s v="12.934678,77.616812"/>
    <n v="5.9"/>
    <s v=""/>
    <x v="0"/>
    <s v="Koramangala"/>
    <x v="0"/>
    <n v="0"/>
    <x v="1"/>
    <x v="16"/>
    <s v="Koramangala"/>
    <n v="0"/>
    <x v="41"/>
    <d v="1899-12-30T15:28:16"/>
    <x v="2"/>
    <x v="0"/>
    <x v="0"/>
  </r>
  <r>
    <n v="164376172877898"/>
    <b v="1"/>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x v="0"/>
    <s v="Pravin Kumar"/>
    <s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x v="0"/>
    <s v="Devarabeesanahalli"/>
    <x v="1"/>
    <n v="0"/>
    <x v="8"/>
    <x v="2"/>
    <s v="Devarabeesanahalli"/>
    <n v="99.99"/>
    <x v="42"/>
    <d v="1899-12-30T17:32:52"/>
    <x v="0"/>
    <x v="3"/>
    <x v="0"/>
  </r>
  <r>
    <n v="164376027513893"/>
    <b v="1"/>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s v="21191609"/>
    <x v="1"/>
    <n v="0"/>
    <s v="15250"/>
    <s v="The Ganache Factory - Cakes &amp; Desserts"/>
    <s v="#156, 43rd Cross, 8th Block, Next to Udupi Hub Resto, Jayanagar, Bangalore"/>
    <s v="8th Block"/>
    <s v="Bangalore"/>
    <n v="0"/>
    <n v="885"/>
    <n v="885"/>
    <n v="885"/>
    <n v="913.5"/>
    <n v="92"/>
    <n v="0"/>
    <s v="12.91835714,77.578127"/>
    <n v="8.4"/>
    <s v="FLAT100"/>
    <x v="0"/>
    <s v="Jayanagar"/>
    <x v="0"/>
    <n v="0"/>
    <x v="8"/>
    <x v="2"/>
    <s v="Jayanagar"/>
    <n v="99.99"/>
    <x v="42"/>
    <d v="1899-12-30T17:30:27"/>
    <x v="0"/>
    <x v="3"/>
    <x v="0"/>
  </r>
  <r>
    <n v="164191765873335"/>
    <b v="1"/>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s v="21191609"/>
    <x v="0"/>
    <s v="Siddartha U"/>
    <s v="375045"/>
    <s v="Paratha Envy"/>
    <s v="NO.504, 2ND FLOOR, 6TH CROSS, 6TH BLOCK, KORAMANGALA BANGALORE., BTM Layout, B.B.M.P South, Karnataka-560095"/>
    <s v="6th Block"/>
    <s v="Bangalore"/>
    <n v="3551"/>
    <n v="466"/>
    <n v="466"/>
    <n v="466"/>
    <n v="496"/>
    <n v="52"/>
    <n v="0"/>
    <s v="12.937246,77.624643"/>
    <n v="5.2"/>
    <s v="FLATDEAL"/>
    <x v="0"/>
    <s v="Koramangala"/>
    <x v="0"/>
    <n v="0"/>
    <x v="7"/>
    <x v="21"/>
    <s v="Koramangala"/>
    <n v="99.99"/>
    <x v="43"/>
    <d v="1899-12-30T14:19:25"/>
    <x v="5"/>
    <x v="0"/>
    <x v="0"/>
  </r>
  <r>
    <n v="163711888473406"/>
    <b v="0"/>
    <s v=""/>
    <s v=""/>
    <s v="2024-01-09 01:01:28"/>
    <s v="2024-01-09 01:01:48"/>
    <s v="21191609"/>
    <x v="0"/>
    <s v="Binoy Debbarma"/>
    <s v="23682"/>
    <s v="McDonald's"/>
    <s v="HSR Layout #1, 14th Main,HSR LSector VII, Bengaluru- 56102."/>
    <s v="HSR Layout"/>
    <s v="Bangalore"/>
    <n v="1000"/>
    <n v="270"/>
    <n v="270"/>
    <n v="270"/>
    <n v="220"/>
    <n v="36"/>
    <n v="0"/>
    <s v="12.91207388,77.6380679"/>
    <n v="0.4"/>
    <s v=""/>
    <x v="0"/>
    <s v="HSR Layout"/>
    <x v="0"/>
    <n v="0"/>
    <x v="1"/>
    <x v="22"/>
    <s v="HSR"/>
    <n v="0"/>
    <x v="44"/>
    <d v="1899-12-30T01:01:28"/>
    <x v="0"/>
    <x v="4"/>
    <x v="0"/>
  </r>
  <r>
    <n v="163004675209983"/>
    <b v="1"/>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s v="21191609"/>
    <x v="0"/>
    <s v="SUMANMANDAL "/>
    <s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x v="0"/>
    <s v="Devarabeesanahalli"/>
    <x v="0"/>
    <n v="0"/>
    <x v="5"/>
    <x v="2"/>
    <s v="Devarabeesanahalli"/>
    <n v="35.700000000000003"/>
    <x v="45"/>
    <d v="1899-12-30T20:34:35"/>
    <x v="5"/>
    <x v="1"/>
    <x v="0"/>
  </r>
  <r>
    <n v="163004361179135"/>
    <b v="0"/>
    <s v=""/>
    <s v=""/>
    <s v="2023-12-31 20:29:21"/>
    <s v="2023-12-31 20:29:27"/>
    <s v="21191609"/>
    <x v="0"/>
    <s v="Mohammad Wasim Akram"/>
    <s v="254655"/>
    <s v="Daily Sushi"/>
    <s v="No.1212, SBM Fortune, 4th Floor, 22nd Cross Road, 14th Main Rd, 3rd Sector, HSR Layout, Bengaluru, Karnataka 560102, India"/>
    <s v="3rd Sector"/>
    <s v="Bangalore"/>
    <n v="1889"/>
    <n v="467"/>
    <n v="467"/>
    <n v="467"/>
    <n v="400"/>
    <n v="31"/>
    <n v="0"/>
    <s v="12.909368,77.638656"/>
    <n v="2.1"/>
    <s v=""/>
    <x v="0"/>
    <s v="HSR Layout"/>
    <x v="0"/>
    <n v="0"/>
    <x v="1"/>
    <x v="5"/>
    <s v="HSR"/>
    <n v="0"/>
    <x v="45"/>
    <d v="1899-12-30T20:29:21"/>
    <x v="5"/>
    <x v="1"/>
    <x v="0"/>
  </r>
  <r>
    <n v="162553743923962"/>
    <b v="1"/>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s v="21191609"/>
    <x v="0"/>
    <s v="UMESH"/>
    <s v="398360"/>
    <s v="Burger Seigneur"/>
    <s v="#717, 10th main road 2nd cross Hosapalya Opposite of Subodhini English high school ITI layout sector 7."/>
    <s v="MANGAMMANAPALYA"/>
    <s v="Bangalore"/>
    <n v="1788"/>
    <n v="788"/>
    <n v="788"/>
    <n v="788"/>
    <n v="920"/>
    <n v="40"/>
    <n v="0"/>
    <s v="12.90073452,77.6400283"/>
    <n v="2.8"/>
    <s v="CELEBRATIONS"/>
    <x v="0"/>
    <s v="ITI layout, Hosapalya"/>
    <x v="0"/>
    <n v="0"/>
    <x v="9"/>
    <x v="23"/>
    <s v="Hosapalya"/>
    <n v="174.99"/>
    <x v="46"/>
    <d v="1899-12-30T15:19:03"/>
    <x v="0"/>
    <x v="0"/>
    <x v="0"/>
  </r>
  <r>
    <n v="162461263812077"/>
    <b v="1"/>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s v="21191609"/>
    <x v="0"/>
    <s v="UNOOSE YUSUF"/>
    <s v="398360"/>
    <s v="Burger Seigneur"/>
    <s v="#717, 10th main road 2nd cross Hosapalya Opposite of Subodhini English high school ITI layout sector 7."/>
    <s v="MANGAMMANAPALYA"/>
    <s v="Bangalore"/>
    <n v="1389"/>
    <n v="372"/>
    <n v="372"/>
    <n v="372"/>
    <n v="430"/>
    <n v="40"/>
    <n v="0"/>
    <s v="12.90073452,77.6400283"/>
    <n v="2.7"/>
    <s v="MISSEDYOU"/>
    <x v="0"/>
    <s v="ITI layout, Hosapalya"/>
    <x v="1"/>
    <n v="0"/>
    <x v="2"/>
    <x v="23"/>
    <s v="Hosapalya"/>
    <n v="80"/>
    <x v="47"/>
    <d v="1899-12-30T13:37:43"/>
    <x v="1"/>
    <x v="0"/>
    <x v="0"/>
  </r>
  <r>
    <n v="161080636531967"/>
    <b v="1"/>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s v="21191609"/>
    <x v="0"/>
    <s v="Irfanirfu "/>
    <s v="2675"/>
    <s v="Subway"/>
    <s v="36, 3rd Store, 7th Sector, 14th main, HSR Layout"/>
    <s v="7th Sector"/>
    <s v="Bangalore"/>
    <n v="1080"/>
    <n v="355"/>
    <n v="355"/>
    <n v="355"/>
    <n v="399"/>
    <n v="33"/>
    <n v="0"/>
    <s v="12.9118135,77.637958"/>
    <n v="1.9"/>
    <s v="SWIGGYIT"/>
    <x v="0"/>
    <s v="HSR Layout"/>
    <x v="1"/>
    <n v="0"/>
    <x v="0"/>
    <x v="13"/>
    <s v="HSR"/>
    <n v="80"/>
    <x v="48"/>
    <d v="1899-12-30T14:07:16"/>
    <x v="2"/>
    <x v="0"/>
    <x v="0"/>
  </r>
  <r>
    <n v="160474594456670"/>
    <b v="1"/>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s v="21191609"/>
    <x v="0"/>
    <s v="SIKENDAR KUMAR YADAV"/>
    <s v="2675"/>
    <s v="Subway"/>
    <s v="36, 3rd Store, 7th Sector, 14th main, HSR Layout"/>
    <s v="7th Sector"/>
    <s v="Bangalore"/>
    <n v="2671"/>
    <n v="354"/>
    <n v="354"/>
    <n v="354"/>
    <n v="398"/>
    <n v="32"/>
    <n v="0"/>
    <s v="12.9118135,77.637958"/>
    <n v="1.9"/>
    <s v="MISSEDYOU"/>
    <x v="0"/>
    <s v="HSR Layout"/>
    <x v="0"/>
    <n v="0"/>
    <x v="2"/>
    <x v="13"/>
    <s v="HSR"/>
    <n v="80"/>
    <x v="49"/>
    <d v="1899-12-30T13:46:34"/>
    <x v="2"/>
    <x v="0"/>
    <x v="0"/>
  </r>
  <r>
    <n v="159955886050893"/>
    <b v="1"/>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s v="21191609"/>
    <x v="0"/>
    <s v="Rajasekar Reddy"/>
    <s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x v="0"/>
    <s v="Bommanahalli"/>
    <x v="0"/>
    <n v="0"/>
    <x v="0"/>
    <x v="24"/>
    <s v="Bommanahalli"/>
    <n v="120"/>
    <x v="50"/>
    <d v="1899-12-30T13:41:26"/>
    <x v="5"/>
    <x v="0"/>
    <x v="0"/>
  </r>
  <r>
    <n v="159700431113615"/>
    <b v="1"/>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s v="21191609"/>
    <x v="0"/>
    <s v="Jayadev Behera"/>
    <s v="700113"/>
    <s v="The Best Thickshakes Co"/>
    <s v="1237, Sri Sai Crystal 17th cross, 5th Main Rd, HSR Layout, Bengaluru, Karnataka 560102"/>
    <s v="5th Main Rd"/>
    <s v="Bangalore"/>
    <n v="1673"/>
    <n v="455"/>
    <n v="455"/>
    <n v="455"/>
    <n v="530"/>
    <n v="29"/>
    <n v="0"/>
    <s v="12.912028,77.632327"/>
    <n v="2.2999999999999998"/>
    <s v="FLATDEAL"/>
    <x v="0"/>
    <s v="HSR"/>
    <x v="0"/>
    <n v="0"/>
    <x v="7"/>
    <x v="25"/>
    <s v="HSR"/>
    <n v="100"/>
    <x v="51"/>
    <d v="1899-12-30T14:43:51"/>
    <x v="6"/>
    <x v="0"/>
    <x v="0"/>
  </r>
  <r>
    <n v="159024606634682"/>
    <b v="1"/>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x v="0"/>
    <s v="MOSTAFIZAR RAHAMAN"/>
    <s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x v="0"/>
    <s v="Bommanahalli"/>
    <x v="0"/>
    <n v="0"/>
    <x v="10"/>
    <x v="24"/>
    <s v="Bommanahalli"/>
    <n v="50.01"/>
    <x v="52"/>
    <d v="1899-12-30T19:00:06"/>
    <x v="4"/>
    <x v="3"/>
    <x v="0"/>
  </r>
  <r>
    <n v="158421216354293"/>
    <b v="0"/>
    <s v=""/>
    <s v=""/>
    <s v="2023-11-08 19:23:36"/>
    <s v="2023-11-08 19:23:57"/>
    <s v="21191609"/>
    <x v="0"/>
    <s v="Eresha"/>
    <s v="244004"/>
    <s v="Wow! Momo"/>
    <s v="WOW MOMO NO1 120 14th main road 5th sector HSR layout Bangalore BTM layout BBMP south  Karnataka  560102"/>
    <s v="5th sector"/>
    <s v="Bangalore"/>
    <n v="2006"/>
    <n v="221"/>
    <n v="221"/>
    <n v="221"/>
    <n v="268"/>
    <n v="32"/>
    <n v="0"/>
    <s v="12.9161961,77.6377847"/>
    <n v="2.1"/>
    <s v=""/>
    <x v="0"/>
    <s v="HSR Layout"/>
    <x v="0"/>
    <n v="0"/>
    <x v="1"/>
    <x v="26"/>
    <s v="HSR"/>
    <n v="0"/>
    <x v="53"/>
    <d v="1899-12-30T19:23:36"/>
    <x v="4"/>
    <x v="3"/>
    <x v="0"/>
  </r>
  <r>
    <n v="158334414702466"/>
    <b v="0"/>
    <s v=""/>
    <s v=""/>
    <s v="2023-11-07 19:16:54"/>
    <s v="2023-11-07 19:17:27"/>
    <s v="21191609"/>
    <x v="0"/>
    <s v="Hasnul Hoque Choudhury "/>
    <s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x v="0"/>
    <s v="Bellandur Sarjapur"/>
    <x v="0"/>
    <n v="2"/>
    <x v="1"/>
    <x v="0"/>
    <s v="Bellandur"/>
    <n v="0"/>
    <x v="54"/>
    <d v="1899-12-30T19:16:54"/>
    <x v="0"/>
    <x v="3"/>
    <x v="1"/>
  </r>
  <r>
    <n v="158133339719955"/>
    <b v="1"/>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s v="21191609"/>
    <x v="0"/>
    <s v="SAYAD SAHABUDDIN ALLI"/>
    <s v="17036"/>
    <s v="Leon's - Burgers &amp; Wings (Leon Grill)"/>
    <s v="No.17, Ground Floor, 18th Cross Road, 3rd Sector, HSR Layout, Bangalore."/>
    <s v="HSR Layout"/>
    <s v="Bangalore"/>
    <n v="1495"/>
    <n v="251"/>
    <n v="251"/>
    <n v="251"/>
    <n v="349"/>
    <n v="31"/>
    <n v="0"/>
    <s v="12.91183127,77.64382903"/>
    <n v="1.6"/>
    <s v="WORLDCUPMANIA"/>
    <x v="0"/>
    <s v="HSR Layout"/>
    <x v="0"/>
    <n v="0"/>
    <x v="11"/>
    <x v="12"/>
    <s v="HSR"/>
    <n v="150"/>
    <x v="55"/>
    <d v="1899-12-30T11:25:39"/>
    <x v="5"/>
    <x v="2"/>
    <x v="0"/>
  </r>
  <r>
    <n v="158078123542130"/>
    <b v="1"/>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s v="21191609"/>
    <x v="0"/>
    <s v="Susanta Das"/>
    <s v="254655"/>
    <s v="Daily Sushi"/>
    <s v="No.1212, SBM Fortune, 4th Floor, 22nd Cross Road, 14th Main Rd, 3rd Sector, HSR Layout, Bengaluru, Karnataka 560102, India"/>
    <s v="3rd Sector"/>
    <s v="Bangalore"/>
    <n v="2736"/>
    <n v="333"/>
    <n v="333"/>
    <n v="333"/>
    <n v="420"/>
    <n v="40"/>
    <n v="0"/>
    <s v="12.909368,77.638656"/>
    <n v="2.1"/>
    <s v="WORLDCUPMANIA"/>
    <x v="0"/>
    <s v="HSR Layout"/>
    <x v="1"/>
    <n v="0"/>
    <x v="11"/>
    <x v="5"/>
    <s v="HSR"/>
    <n v="150"/>
    <x v="56"/>
    <d v="1899-12-30T20:05:23"/>
    <x v="2"/>
    <x v="1"/>
    <x v="0"/>
  </r>
  <r>
    <n v="158041541026826"/>
    <b v="0"/>
    <s v=""/>
    <s v=""/>
    <s v="2023-11-04 09:55:41"/>
    <s v="2023-11-04 09:55:59"/>
    <s v="21191609"/>
    <x v="0"/>
    <s v="MANAS KUMAR SETHI"/>
    <s v="62430"/>
    <s v="Dosa Chicken &amp; Tiffins"/>
    <s v="235, 9th Main Road, Sector 7, HSR Layout, Sector 7, HSR Layout, Bengaluru, Karnataka 560102"/>
    <s v="7th Sector"/>
    <s v="Bangalore"/>
    <n v="2540"/>
    <n v="191"/>
    <n v="191"/>
    <n v="191"/>
    <n v="169"/>
    <n v="33"/>
    <n v="0"/>
    <s v="12.912837,77.63510900000006"/>
    <n v="2.1"/>
    <s v=""/>
    <x v="0"/>
    <s v="HSR Layout"/>
    <x v="0"/>
    <n v="0"/>
    <x v="1"/>
    <x v="27"/>
    <s v="HSR"/>
    <n v="0"/>
    <x v="56"/>
    <d v="1899-12-30T09:55:41"/>
    <x v="2"/>
    <x v="2"/>
    <x v="0"/>
  </r>
  <r>
    <n v="157279336071863"/>
    <b v="1"/>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s v="21191609"/>
    <x v="0"/>
    <s v="danush "/>
    <s v="17036"/>
    <s v="Leon's - Burgers &amp; Wings (Leon Grill)"/>
    <s v="No.17, Ground Floor, 18th Cross Road, 3rd Sector, HSR Layout, Bangalore."/>
    <s v="HSR Layout"/>
    <s v="Bangalore"/>
    <n v="782"/>
    <n v="298"/>
    <n v="298"/>
    <n v="298"/>
    <n v="295.86"/>
    <n v="30"/>
    <n v="0"/>
    <s v="12.91183127,77.64382903"/>
    <n v="0.2"/>
    <s v="SWIGGYIT"/>
    <x v="0"/>
    <s v="HSR Layout"/>
    <x v="1"/>
    <n v="0"/>
    <x v="0"/>
    <x v="12"/>
    <s v="HSR"/>
    <n v="50"/>
    <x v="57"/>
    <d v="1899-12-30T14:12:16"/>
    <x v="6"/>
    <x v="0"/>
    <x v="0"/>
  </r>
  <r>
    <n v="157212479386394"/>
    <b v="0"/>
    <s v=""/>
    <s v=""/>
    <s v="2023-10-25 19:37:59"/>
    <s v="2023-10-25 19:38:20"/>
    <s v="21191609"/>
    <x v="0"/>
    <s v="Periyasami"/>
    <s v="488099"/>
    <s v="The Himalayan Momo Company"/>
    <s v="73, 27 th Main Road,Phase 3, Agara Village,1 st Sector"/>
    <s v="1st Sector"/>
    <s v="Bangalore"/>
    <n v="661"/>
    <n v="167"/>
    <n v="167"/>
    <n v="167"/>
    <n v="149"/>
    <n v="42"/>
    <n v="0"/>
    <s v="12.920751,77.650396"/>
    <n v="0.6"/>
    <s v=""/>
    <x v="0"/>
    <s v="HSR Layout"/>
    <x v="1"/>
    <n v="0"/>
    <x v="1"/>
    <x v="28"/>
    <s v="HSR"/>
    <n v="0"/>
    <x v="58"/>
    <d v="1899-12-30T19:37:59"/>
    <x v="4"/>
    <x v="3"/>
    <x v="0"/>
  </r>
  <r>
    <n v="157095860714592"/>
    <b v="1"/>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s v="21191609"/>
    <x v="0"/>
    <s v="SATHISHIUMAR G S"/>
    <s v="348329"/>
    <s v="Paratha Envy"/>
    <s v="NO.1560/1435/33, K SOMASHEKHAR REDDY, KAIKONDRAHALLI, BANGALORE., Mahadevapura , B.B.M.P East, Karnataka-560035"/>
    <s v="Kaikondrahalli"/>
    <s v="Bangalore"/>
    <n v="2007"/>
    <n v="300"/>
    <n v="300"/>
    <n v="300"/>
    <n v="357"/>
    <n v="41"/>
    <n v="0"/>
    <s v="12.9075344,77.67582123"/>
    <n v="5"/>
    <s v="LUNCHBINGE"/>
    <x v="2"/>
    <s v="Sarjapur Road"/>
    <x v="1"/>
    <n v="0"/>
    <x v="12"/>
    <x v="21"/>
    <s v="Sarjapur"/>
    <n v="99.99"/>
    <x v="59"/>
    <d v="1899-12-30T11:14:20"/>
    <x v="0"/>
    <x v="2"/>
    <x v="0"/>
  </r>
  <r>
    <n v="156956128612767"/>
    <b v="1"/>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s v="21191609"/>
    <x v="0"/>
    <s v="RAHULB B"/>
    <s v="17036"/>
    <s v="Leon's - Burgers &amp; Wings (Leon Grill)"/>
    <s v="No.17, Ground Floor, 18th Cross Road, 3rd Sector, HSR Layout, Bangalore."/>
    <s v="HSR Layout"/>
    <s v="Bangalore"/>
    <n v="927"/>
    <n v="221"/>
    <n v="221"/>
    <n v="221"/>
    <n v="320.86"/>
    <n v="33"/>
    <n v="0"/>
    <s v="12.91183127,77.64382903"/>
    <n v="1.3"/>
    <s v="WORLDCUPMANIA"/>
    <x v="2"/>
    <s v="HSR Layout"/>
    <x v="0"/>
    <n v="0"/>
    <x v="11"/>
    <x v="12"/>
    <s v="HSR"/>
    <n v="150"/>
    <x v="60"/>
    <d v="1899-12-30T20:25:28"/>
    <x v="5"/>
    <x v="1"/>
    <x v="0"/>
  </r>
  <r>
    <n v="156923241346336"/>
    <b v="1"/>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x v="0"/>
    <s v="Rajesh das "/>
    <s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x v="2"/>
    <s v="Bommanahalli"/>
    <x v="0"/>
    <n v="0"/>
    <x v="11"/>
    <x v="24"/>
    <s v="Bommanahalli"/>
    <n v="149.97999999999999"/>
    <x v="60"/>
    <d v="1899-12-30T11:17:21"/>
    <x v="5"/>
    <x v="2"/>
    <x v="0"/>
  </r>
  <r>
    <n v="156864275866899"/>
    <b v="0"/>
    <s v=""/>
    <s v=""/>
    <s v="2023-10-21 18:54:35"/>
    <s v="2023-10-21 18:54:52"/>
    <s v="21191609"/>
    <x v="0"/>
    <s v="Dibyajit Phukan"/>
    <s v="55737"/>
    <s v="Kairali Restaurant"/>
    <s v="32/21 near Maruti showroom outer ring road belladur Bangalore"/>
    <s v="Outer Ring Road"/>
    <s v="Bangalore"/>
    <n v="2025"/>
    <n v="265"/>
    <n v="265"/>
    <n v="265"/>
    <n v="239"/>
    <n v="49"/>
    <n v="0"/>
    <s v="12.928069,77.679204"/>
    <n v="4.2"/>
    <s v=""/>
    <x v="2"/>
    <s v="Bellandur"/>
    <x v="0"/>
    <n v="0"/>
    <x v="1"/>
    <x v="29"/>
    <s v="Bellandur"/>
    <n v="0"/>
    <x v="61"/>
    <d v="1899-12-30T18:54:35"/>
    <x v="2"/>
    <x v="3"/>
    <x v="0"/>
  </r>
  <r>
    <n v="156652104418064"/>
    <b v="1"/>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x v="0"/>
    <s v="Debasish Mahapatra"/>
    <s v="201224"/>
    <s v="Asha tiffins"/>
    <s v="Asha Tiffins, 5th Main Road, Sector 7, HSR Layout, Bengaluru, Karnataka, India"/>
    <s v="7th Sector"/>
    <s v="Bangalore"/>
    <n v="753"/>
    <n v="189"/>
    <n v="189"/>
    <n v="189"/>
    <n v="207"/>
    <n v="30"/>
    <n v="0"/>
    <s v="12.911856,77.6325489999999"/>
    <n v="2.4"/>
    <s v="TRYNEW-XL"/>
    <x v="0"/>
    <s v="HSR Layout"/>
    <x v="1"/>
    <n v="0"/>
    <x v="13"/>
    <x v="30"/>
    <s v="HSR"/>
    <n v="62.099999999999902"/>
    <x v="62"/>
    <d v="1899-12-30T07:58:24"/>
    <x v="6"/>
    <x v="5"/>
    <x v="0"/>
  </r>
  <r>
    <n v="155826395288522"/>
    <b v="1"/>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s v="21191609"/>
    <x v="0"/>
    <s v="Anil Kumar Yadav"/>
    <s v="709170"/>
    <s v="Imperio Restaurant"/>
    <s v="imperio restaurant , 495, 17th Cross Rd, Parangi Palaya, Sector 2, HSR Layout, Bengaluru, Karnataka"/>
    <s v="Sector 2"/>
    <s v="Bangalore"/>
    <n v="1001"/>
    <n v="229"/>
    <n v="229"/>
    <n v="229"/>
    <n v="258"/>
    <n v="48"/>
    <n v="0"/>
    <s v="12.91181824,77.6495233"/>
    <n v="0.7"/>
    <s v="SWIGGYIT"/>
    <x v="2"/>
    <s v="HSR"/>
    <x v="1"/>
    <n v="2"/>
    <x v="0"/>
    <x v="31"/>
    <s v="HSR"/>
    <n v="50"/>
    <x v="63"/>
    <d v="1899-12-30T18:36:35"/>
    <x v="1"/>
    <x v="3"/>
    <x v="1"/>
  </r>
  <r>
    <n v="154933952448406"/>
    <b v="0"/>
    <s v=""/>
    <s v=""/>
    <s v="2023-09-29 10:42:32"/>
    <s v="2023-09-29 10:42:49"/>
    <s v="21191609"/>
    <x v="0"/>
    <s v="Jaydev nath"/>
    <s v="348329"/>
    <s v="Paratha Envy"/>
    <s v="NO.1560/1435/33, K SOMASHEKHAR REDDY, KAIKONDRAHALLI, BANGALORE., Mahadevapura , B.B.M.P East, Karnataka-560035"/>
    <s v="Kaikondrahalli"/>
    <s v="Bangalore"/>
    <n v="2566"/>
    <n v="553"/>
    <n v="553"/>
    <n v="553"/>
    <n v="535"/>
    <n v="44"/>
    <n v="0"/>
    <s v="12.9075344,77.67582123"/>
    <n v="5"/>
    <s v=""/>
    <x v="0"/>
    <s v="Sarjapur Road"/>
    <x v="1"/>
    <n v="0"/>
    <x v="1"/>
    <x v="21"/>
    <s v="Sarjapur"/>
    <n v="0"/>
    <x v="64"/>
    <d v="1899-12-30T10:42:32"/>
    <x v="3"/>
    <x v="2"/>
    <x v="0"/>
  </r>
  <r>
    <n v="178713153585"/>
    <b v="1"/>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s v="21191609"/>
    <x v="0"/>
    <s v="Prakash Dalabehera"/>
    <s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x v="0"/>
    <s v="Bommanahalli"/>
    <x v="1"/>
    <n v="0"/>
    <x v="5"/>
    <x v="24"/>
    <s v="Bommanahalli"/>
    <n v="119.99"/>
    <x v="65"/>
    <d v="1899-12-30T16:02:34"/>
    <x v="1"/>
    <x v="3"/>
    <x v="0"/>
  </r>
  <r>
    <n v="178539970232"/>
    <b v="0"/>
    <s v=""/>
    <s v=""/>
    <s v="2023-09-23 15:56:11"/>
    <s v="2023-09-23 15:56:34"/>
    <s v="21191609"/>
    <x v="0"/>
    <s v="Akshay Akshay"/>
    <s v="567783"/>
    <s v="HSR Freshcane Juice"/>
    <s v="NO 2333, 24TH MAIN,17TH CROSS SECTOR NO 1, HSR LAYOUT, Bommanahalli , B.B.M.P South, , Karnataka, 560102"/>
    <s v="1st Sector"/>
    <s v="Bangalore"/>
    <n v="1835"/>
    <n v="281"/>
    <n v="281"/>
    <n v="281"/>
    <n v="256"/>
    <n v="31"/>
    <n v="0"/>
    <s v="12.912110164242,77.648900840197"/>
    <n v="0.5"/>
    <s v=""/>
    <x v="0"/>
    <s v="HSR Layout"/>
    <x v="0"/>
    <n v="0"/>
    <x v="1"/>
    <x v="32"/>
    <s v="HSR"/>
    <n v="0"/>
    <x v="66"/>
    <d v="1899-12-30T15:56:11"/>
    <x v="2"/>
    <x v="0"/>
    <x v="0"/>
  </r>
  <r>
    <n v="178180906036"/>
    <b v="1"/>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s v="21191609"/>
    <x v="0"/>
    <s v="Santakar Santapriya"/>
    <s v="709170"/>
    <s v="Imperio Restaurant"/>
    <s v="imperio restaurant , 495, 17th Cross Rd, Parangi Palaya, Sector 2, HSR Layout, Bengaluru, Karnataka"/>
    <s v="Sector 2"/>
    <s v="Bangalore"/>
    <n v="971"/>
    <n v="301"/>
    <n v="301"/>
    <n v="301"/>
    <n v="318"/>
    <n v="28"/>
    <n v="0"/>
    <s v="12.91181824,77.6495233"/>
    <n v="0.7"/>
    <s v="TRYNEW"/>
    <x v="0"/>
    <s v="HSR"/>
    <x v="1"/>
    <n v="0"/>
    <x v="5"/>
    <x v="31"/>
    <s v="HSR"/>
    <n v="49.99"/>
    <x v="67"/>
    <d v="1899-12-30T12:11:47"/>
    <x v="0"/>
    <x v="0"/>
    <x v="0"/>
  </r>
  <r>
    <n v="178090781440"/>
    <b v="0"/>
    <s v=""/>
    <s v=""/>
    <s v="2023-09-18 11:09:42"/>
    <s v="2023-09-18 11:10:02"/>
    <s v="21191609"/>
    <x v="0"/>
    <s v="Ramesh K"/>
    <s v="62430"/>
    <s v="Dosa Chicken &amp; Tiffins"/>
    <s v="235, 9th Main Road, Sector 7, HSR Layout, Sector 7, HSR Layout, Bengaluru, Karnataka 560102"/>
    <s v="7th Sector"/>
    <s v="Bangalore"/>
    <n v="2783"/>
    <n v="190"/>
    <n v="190"/>
    <n v="190"/>
    <n v="169"/>
    <n v="28"/>
    <n v="0"/>
    <s v="12.912837,77.63510900000006"/>
    <n v="2"/>
    <s v=""/>
    <x v="0"/>
    <s v="HSR Layout"/>
    <x v="1"/>
    <n v="0"/>
    <x v="1"/>
    <x v="27"/>
    <s v="HSR"/>
    <n v="0"/>
    <x v="68"/>
    <d v="1899-12-30T11:09:42"/>
    <x v="1"/>
    <x v="2"/>
    <x v="0"/>
  </r>
  <r>
    <n v="177591184372"/>
    <b v="1"/>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s v="21191609"/>
    <x v="0"/>
    <s v="Avverahalli Mallesh Basavesh"/>
    <s v="2675"/>
    <s v="Subway"/>
    <s v="36, 3rd Store, 7th Sector, 14th main, HSR Layout"/>
    <s v="7th Sector"/>
    <s v="Bangalore"/>
    <n v="1091"/>
    <n v="244"/>
    <n v="244"/>
    <n v="244"/>
    <n v="299"/>
    <n v="28"/>
    <n v="0"/>
    <s v="12.9118135,77.637958"/>
    <n v="1.7"/>
    <s v="SPECIALS"/>
    <x v="0"/>
    <s v="HSR Layout"/>
    <x v="1"/>
    <n v="0"/>
    <x v="14"/>
    <x v="13"/>
    <s v="HSR"/>
    <n v="80"/>
    <x v="69"/>
    <d v="1899-12-30T16:23:04"/>
    <x v="0"/>
    <x v="3"/>
    <x v="0"/>
  </r>
  <r>
    <n v="177445532607"/>
    <b v="1"/>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x v="0"/>
    <s v="Amitabh Kumar Pavan"/>
    <s v="395574"/>
    <s v="Plan B"/>
    <s v="No 2324, 17th Cross Road, 1st Sector, HSR Layout, Bengaluru, Karnataka 560012"/>
    <s v="1st Sector"/>
    <s v="Bangalore"/>
    <n v="2259"/>
    <n v="1369"/>
    <n v="1369"/>
    <n v="1369"/>
    <n v="1380"/>
    <n v="41"/>
    <n v="0"/>
    <s v="12.912120631518187,77.65069759736535"/>
    <n v="0.8"/>
    <s v="PARTY"/>
    <x v="0"/>
    <s v="HSR Layout"/>
    <x v="1"/>
    <n v="0"/>
    <x v="15"/>
    <x v="33"/>
    <s v="HSR"/>
    <n v="138"/>
    <x v="70"/>
    <d v="1899-12-30T23:55:33"/>
    <x v="5"/>
    <x v="1"/>
    <x v="0"/>
  </r>
  <r>
    <n v="177265186487"/>
    <b v="1"/>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x v="0"/>
    <s v="Monirul Hoque"/>
    <s v="395574"/>
    <s v="Plan B"/>
    <s v="No 2324, 17th Cross Road, 1st Sector, HSR Layout, Bengaluru, Karnataka 560012"/>
    <s v="1st Sector"/>
    <s v="Bangalore"/>
    <n v="2907"/>
    <n v="1905"/>
    <n v="1905"/>
    <n v="1905"/>
    <n v="1970"/>
    <n v="37"/>
    <n v="0"/>
    <s v="12.912120631518187,77.65069759736535"/>
    <n v="0.7"/>
    <s v="PARTY"/>
    <x v="0"/>
    <s v="HSR Layout"/>
    <x v="1"/>
    <n v="0"/>
    <x v="15"/>
    <x v="33"/>
    <s v="HSR"/>
    <n v="197"/>
    <x v="71"/>
    <d v="1899-12-30T21:49:47"/>
    <x v="3"/>
    <x v="1"/>
    <x v="0"/>
  </r>
  <r>
    <n v="176793394432"/>
    <b v="1"/>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n v="0"/>
    <s v="21191609"/>
    <x v="0"/>
    <s v="Priyabrata Jena"/>
    <s v="298606"/>
    <s v="Drunken Monkey"/>
    <s v="No.634 ground floor,5th cross,15th main ,4th block,kormangala (near chinmaya vidyalaya school),bangalore 560034"/>
    <s v="4th Block"/>
    <s v="Bangalore"/>
    <n v="1712"/>
    <n v="399"/>
    <n v="399"/>
    <n v="399"/>
    <n v="398"/>
    <n v="44"/>
    <n v="0"/>
    <s v="12.934488559072948,77.62886978481599"/>
    <n v="4.4000000000000004"/>
    <s v="TRYNEW"/>
    <x v="2"/>
    <s v="Koramangala"/>
    <x v="0"/>
    <n v="0"/>
    <x v="5"/>
    <x v="34"/>
    <s v="Koramangala"/>
    <n v="39.799999999999997"/>
    <x v="72"/>
    <d v="1899-12-30T10:46:35"/>
    <x v="5"/>
    <x v="2"/>
    <x v="0"/>
  </r>
  <r>
    <n v="176745115332"/>
    <b v="1"/>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n v="0"/>
    <s v="21191609"/>
    <x v="0"/>
    <s v="Manoj Kumar H M"/>
    <s v="254655"/>
    <s v="Daily Sushi"/>
    <s v="No.1212, SBM Fortune, 4th Floor, 22nd Cross Road, 14th Main Rd, 3rd Sector, HSR Layout, Bengaluru, Karnataka 560102, India"/>
    <s v="3rd Sector"/>
    <s v="Bangalore"/>
    <n v="2738"/>
    <n v="359"/>
    <n v="359"/>
    <n v="359"/>
    <n v="400"/>
    <n v="36"/>
    <n v="0"/>
    <s v="12.909368,77.638656"/>
    <n v="2.1"/>
    <s v="TRYNEW"/>
    <x v="2"/>
    <s v="HSR Layout"/>
    <x v="0"/>
    <n v="0"/>
    <x v="5"/>
    <x v="5"/>
    <s v="HSR"/>
    <n v="100"/>
    <x v="73"/>
    <d v="1899-12-30T21:21:56"/>
    <x v="2"/>
    <x v="1"/>
    <x v="0"/>
  </r>
  <r>
    <n v="176716772573"/>
    <b v="1"/>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n v="0"/>
    <s v="21191609"/>
    <x v="0"/>
    <s v="Raghunatha"/>
    <s v="341895"/>
    <s v="Burger Seigneur"/>
    <s v="NO.35, 80FEET ROAD, HAL 3RD STAGE, BANGALORE  B.B.M.P East Karnataka 560075"/>
    <s v="Indiranagar"/>
    <s v="Bangalore"/>
    <n v="2483"/>
    <n v="356"/>
    <n v="356"/>
    <n v="356"/>
    <n v="460"/>
    <n v="34"/>
    <n v="0"/>
    <s v="12.97107,77.647521"/>
    <n v="1.5"/>
    <s v="WEEKENDS"/>
    <x v="2"/>
    <s v="Indiranagar"/>
    <x v="1"/>
    <n v="0"/>
    <x v="16"/>
    <x v="23"/>
    <s v="Indiranagar"/>
    <n v="125"/>
    <x v="73"/>
    <d v="1899-12-30T13:29:33"/>
    <x v="2"/>
    <x v="0"/>
    <x v="0"/>
  </r>
  <r>
    <n v="176451044220"/>
    <b v="0"/>
    <s v=""/>
    <s v=""/>
    <s v="2023-08-30 11:40:45"/>
    <n v="0"/>
    <s v="21191609"/>
    <x v="0"/>
    <s v="Kumar R"/>
    <s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x v="2"/>
    <s v="Bellandur"/>
    <x v="0"/>
    <n v="0"/>
    <x v="1"/>
    <x v="35"/>
    <s v="Bellandur"/>
    <n v="0"/>
    <x v="74"/>
    <d v="1899-12-30T11:40:45"/>
    <x v="4"/>
    <x v="2"/>
    <x v="0"/>
  </r>
  <r>
    <n v="176221057630"/>
    <b v="0"/>
    <s v=""/>
    <s v=""/>
    <s v="2023-08-27 19:47:38"/>
    <n v="0"/>
    <s v="21191609"/>
    <x v="0"/>
    <s v="Paresh Kumar Mohanty"/>
    <s v="498292"/>
    <s v="Istah - The Mediterranean Way"/>
    <s v="88/1, Ward No, 66, Swiggy Koramangala Super Hub building, Sarjapur Road, Jakkasandra Village, Bangalore 560034"/>
    <s v="1st Block"/>
    <s v="Bangalore"/>
    <n v="2187"/>
    <n v="164"/>
    <n v="164"/>
    <n v="164"/>
    <n v="199"/>
    <n v="41"/>
    <n v="0"/>
    <s v="12.925114189248388,77.6370633020997"/>
    <n v="3.1"/>
    <s v=""/>
    <x v="2"/>
    <s v="Koramangala"/>
    <x v="0"/>
    <n v="0"/>
    <x v="1"/>
    <x v="36"/>
    <s v="Koramangala"/>
    <n v="0"/>
    <x v="75"/>
    <d v="1899-12-30T19:47:38"/>
    <x v="5"/>
    <x v="3"/>
    <x v="0"/>
  </r>
  <r>
    <n v="175968970700"/>
    <b v="1"/>
    <s v="JUMBO"/>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n v="0"/>
    <s v="21191609"/>
    <x v="1"/>
    <s v=""/>
    <s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x v="2"/>
    <s v="Koramangala"/>
    <x v="0"/>
    <n v="0"/>
    <x v="6"/>
    <x v="37"/>
    <s v="Koramangala"/>
    <n v="109.5"/>
    <x v="76"/>
    <d v="1899-12-30T21:46:11"/>
    <x v="6"/>
    <x v="1"/>
    <x v="0"/>
  </r>
  <r>
    <n v="175192473312"/>
    <b v="0"/>
    <s v=""/>
    <s v=""/>
    <s v="2023-08-15 22:04:33"/>
    <n v="0"/>
    <s v="21191609"/>
    <x v="0"/>
    <s v="Asif Alli"/>
    <s v="64914"/>
    <s v="Kerala Panoor Restaurant"/>
    <s v="Devarabeesanahalli Flyover, Devarabisanahalli, Bellandur, Bengaluru, Karnataka 560103"/>
    <s v="Devarabisanahalli"/>
    <s v="Bangalore"/>
    <n v="1654"/>
    <n v="504"/>
    <n v="504"/>
    <n v="504"/>
    <n v="465"/>
    <n v="54"/>
    <n v="0"/>
    <s v="12.930556,77.68499199999997"/>
    <n v="5"/>
    <s v=""/>
    <x v="2"/>
    <s v="Bellandur"/>
    <x v="0"/>
    <n v="0"/>
    <x v="1"/>
    <x v="38"/>
    <s v="Bellandur"/>
    <n v="0"/>
    <x v="77"/>
    <d v="1899-12-30T22:04:33"/>
    <x v="0"/>
    <x v="1"/>
    <x v="0"/>
  </r>
  <r>
    <n v="174983850554"/>
    <b v="0"/>
    <s v=""/>
    <s v=""/>
    <s v="2023-08-13 12:07:31"/>
    <n v="0"/>
    <s v="21191609"/>
    <x v="0"/>
    <s v="Govind Shrma"/>
    <s v="6907"/>
    <s v="FreshMenu"/>
    <s v="No 526/A,Ganesh Complex,Ground floor,18th Main Road,HSR 3rd sector,Bangalore:560102"/>
    <s v="3rd Sector"/>
    <s v="Bangalore"/>
    <n v="1728"/>
    <n v="477"/>
    <n v="477"/>
    <n v="477"/>
    <n v="763"/>
    <n v="25"/>
    <n v="0"/>
    <s v="12.9054065,77.64410799999996"/>
    <n v="1.8"/>
    <s v=""/>
    <x v="2"/>
    <s v="HSR Layout"/>
    <x v="0"/>
    <n v="0"/>
    <x v="1"/>
    <x v="39"/>
    <s v="HSR"/>
    <n v="0"/>
    <x v="78"/>
    <d v="1899-12-30T12:07:31"/>
    <x v="5"/>
    <x v="0"/>
    <x v="0"/>
  </r>
  <r>
    <n v="174647551706"/>
    <b v="1"/>
    <s v="JUMBO"/>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n v="0"/>
    <s v="21191609"/>
    <x v="0"/>
    <s v="Suresh Mahal"/>
    <s v="405912"/>
    <s v="The Thick Shake Factory"/>
    <s v="#87, 14TH MAIN ROAD, 4TH SECTOR, OPP: _x000a_BDA COMPLEX, HSR LAYOUT BANGALORE-560102, Sangeetha mobile showroom Besment"/>
    <s v="4th sector"/>
    <s v="Bangalore"/>
    <n v="1269"/>
    <n v="401"/>
    <n v="401"/>
    <n v="401"/>
    <n v="478"/>
    <n v="25"/>
    <n v="0"/>
    <s v="12.9125116379822,77.63817068570162"/>
    <n v="1.7"/>
    <s v="JUMBO"/>
    <x v="2"/>
    <s v="HSR Layout"/>
    <x v="0"/>
    <n v="0"/>
    <x v="6"/>
    <x v="37"/>
    <s v="HSR"/>
    <n v="119.49"/>
    <x v="79"/>
    <d v="1899-12-30T14:42:32"/>
    <x v="4"/>
    <x v="0"/>
    <x v="0"/>
  </r>
  <r>
    <n v="174644435956"/>
    <b v="0"/>
    <s v=""/>
    <s v=""/>
    <s v="2023-08-09 13:50:36"/>
    <n v="0"/>
    <s v="21191609"/>
    <x v="0"/>
    <s v="Prakash Dalabehera"/>
    <s v="398360"/>
    <s v="Burger Seigneur"/>
    <s v="#717, 10th main road 2nd cross Hosapalya Opposite of Subodhini English high school ITI layout sector 7."/>
    <s v="MANGAMMANAPALYA"/>
    <s v="Bangalore"/>
    <n v="3238"/>
    <n v="516"/>
    <n v="516"/>
    <n v="516"/>
    <n v="490"/>
    <n v="25"/>
    <n v="0"/>
    <s v="12.9000771,77.640061"/>
    <n v="2.8"/>
    <s v=""/>
    <x v="2"/>
    <s v="ITI layout, Hosapalya"/>
    <x v="0"/>
    <n v="0"/>
    <x v="1"/>
    <x v="23"/>
    <s v="Hosapalya"/>
    <n v="0"/>
    <x v="79"/>
    <d v="1899-12-30T13:50:36"/>
    <x v="4"/>
    <x v="0"/>
    <x v="0"/>
  </r>
  <r>
    <n v="174559415025"/>
    <b v="1"/>
    <s v="TRYNEW"/>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n v="0"/>
    <s v="21191609"/>
    <x v="0"/>
    <s v="Bimbadhar Sahoo"/>
    <s v="394626"/>
    <s v="La Pino'z Pizza"/>
    <s v="La Pino'z Pizza, #11/50/3, Ambalipura, Village, Sarjapur - Marathahalli Rd, Bengaluru, Karnataka 560103"/>
    <s v="Sarjapur - Marathahalli Rd"/>
    <s v="Bangalore"/>
    <n v="1585"/>
    <n v="171"/>
    <n v="171"/>
    <n v="171"/>
    <n v="225"/>
    <n v="25"/>
    <n v="0"/>
    <s v="12.919644,77.667114"/>
    <n v="2.8"/>
    <s v="TRYNEW"/>
    <x v="2"/>
    <s v="Bellandur"/>
    <x v="0"/>
    <n v="0"/>
    <x v="5"/>
    <x v="40"/>
    <s v="Bellandur"/>
    <n v="100"/>
    <x v="80"/>
    <d v="1899-12-30T14:13:36"/>
    <x v="0"/>
    <x v="0"/>
    <x v="0"/>
  </r>
  <r>
    <n v="174376605060"/>
    <b v="0"/>
    <s v=""/>
    <s v=""/>
    <s v="2023-08-06 11:26:46"/>
    <n v="0"/>
    <s v="21191609"/>
    <x v="0"/>
    <s v="MUKESH SINGH"/>
    <s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x v="2"/>
    <s v="Bellandur"/>
    <x v="1"/>
    <n v="0"/>
    <x v="1"/>
    <x v="35"/>
    <s v="Bellandur"/>
    <n v="0"/>
    <x v="81"/>
    <d v="1899-12-30T11:26:46"/>
    <x v="5"/>
    <x v="2"/>
    <x v="0"/>
  </r>
  <r>
    <n v="172557699296"/>
    <b v="0"/>
    <s v=""/>
    <s v=""/>
    <s v="2023-07-16 10:11:39"/>
    <n v="0"/>
    <s v="21191609"/>
    <x v="0"/>
    <s v="Santosh Behera"/>
    <s v="660675"/>
    <s v="Cafe Amudham"/>
    <s v="No. 146, 5th Block, Koramangala, Bangalore, BTM Layout , B.B.M.P South, Karnataka-560095"/>
    <s v="5th Block Kormangala"/>
    <s v="Bangalore"/>
    <n v="2004"/>
    <n v="186"/>
    <n v="186"/>
    <n v="186"/>
    <n v="159"/>
    <n v="45"/>
    <n v="0"/>
    <s v="12.933842204939534,77.61976898008312"/>
    <n v="5.8"/>
    <s v=""/>
    <x v="2"/>
    <s v="Koramangala"/>
    <x v="0"/>
    <n v="0"/>
    <x v="1"/>
    <x v="41"/>
    <s v="Koramangala"/>
    <n v="0"/>
    <x v="82"/>
    <d v="1899-12-30T10:11:39"/>
    <x v="5"/>
    <x v="2"/>
    <x v="0"/>
  </r>
  <r>
    <n v="171953923401"/>
    <b v="0"/>
    <s v=""/>
    <s v=""/>
    <s v="2023-07-09 10:28:44"/>
    <n v="0"/>
    <s v="21191609"/>
    <x v="0"/>
    <s v="Vivek Kumar"/>
    <s v="416272"/>
    <s v="Table for Tous"/>
    <s v="146, 2nd Floor, HSR Layout, Sector 5, Ring Road, Bangalore, BTM Layout , B.B.M.P South, Karnataka - 560102"/>
    <s v="4th Sector"/>
    <s v="Bangalore"/>
    <n v="2648"/>
    <n v="1136"/>
    <n v="1136"/>
    <n v="1136"/>
    <n v="1050"/>
    <n v="29"/>
    <n v="0"/>
    <s v="12.916462690900852,77.63573539639873"/>
    <n v="1.7"/>
    <s v=""/>
    <x v="2"/>
    <s v="HSR Layout"/>
    <x v="0"/>
    <n v="0"/>
    <x v="1"/>
    <x v="42"/>
    <s v="HSR"/>
    <n v="0"/>
    <x v="83"/>
    <d v="1899-12-30T10:28:44"/>
    <x v="5"/>
    <x v="2"/>
    <x v="0"/>
  </r>
  <r>
    <n v="171863054117"/>
    <b v="1"/>
    <s v="TRYNEW"/>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n v="0"/>
    <s v="21191609"/>
    <x v="0"/>
    <s v="Gnanam"/>
    <s v="660675"/>
    <s v="Cafe Amudham"/>
    <s v="No. 146, 5th Block, Koramangala, Bangalore, BTM Layout , B.B.M.P South, Karnataka-560095"/>
    <s v="5th Block Kormangala"/>
    <s v="Bangalore"/>
    <n v="1734"/>
    <n v="170"/>
    <n v="170"/>
    <n v="170"/>
    <n v="179"/>
    <n v="47"/>
    <n v="0"/>
    <s v="12.933842204939534,77.61976898008312"/>
    <n v="6"/>
    <s v="TRYNEW"/>
    <x v="2"/>
    <s v="Koramangala"/>
    <x v="1"/>
    <n v="0"/>
    <x v="5"/>
    <x v="41"/>
    <s v="Koramangala"/>
    <n v="35.799999999999997"/>
    <x v="84"/>
    <d v="1899-12-30T09:14:15"/>
    <x v="2"/>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n v="175244332362622"/>
    <x v="0"/>
    <n v="0"/>
    <n v="1"/>
    <x v="0"/>
  </r>
  <r>
    <n v="175167017704058"/>
    <x v="1"/>
    <n v="0"/>
    <n v="1"/>
    <x v="0"/>
  </r>
  <r>
    <n v="175167017704058"/>
    <x v="2"/>
    <n v="0"/>
    <n v="1"/>
    <x v="0"/>
  </r>
  <r>
    <n v="175017114796029"/>
    <x v="3"/>
    <n v="0"/>
    <n v="1"/>
    <x v="0"/>
  </r>
  <r>
    <n v="175017114796029"/>
    <x v="4"/>
    <n v="1"/>
    <n v="1"/>
    <x v="1"/>
  </r>
  <r>
    <n v="174973046023416"/>
    <x v="5"/>
    <n v="1"/>
    <n v="1"/>
    <x v="1"/>
  </r>
  <r>
    <n v="174973046023416"/>
    <x v="6"/>
    <n v="1"/>
    <n v="1"/>
    <x v="1"/>
  </r>
  <r>
    <n v="174906705849277"/>
    <x v="7"/>
    <n v="0"/>
    <n v="1"/>
    <x v="0"/>
  </r>
  <r>
    <n v="174906705849277"/>
    <x v="8"/>
    <n v="1"/>
    <n v="1"/>
    <x v="1"/>
  </r>
  <r>
    <n v="174329455765789"/>
    <x v="9"/>
    <n v="1"/>
    <n v="1"/>
    <x v="1"/>
  </r>
  <r>
    <n v="174329455765789"/>
    <x v="10"/>
    <n v="0"/>
    <n v="1"/>
    <x v="0"/>
  </r>
  <r>
    <n v="174318296922309"/>
    <x v="11"/>
    <n v="1"/>
    <n v="1"/>
    <x v="1"/>
  </r>
  <r>
    <n v="174318296922309"/>
    <x v="12"/>
    <n v="1"/>
    <n v="1"/>
    <x v="1"/>
  </r>
  <r>
    <n v="174118005152904"/>
    <x v="13"/>
    <n v="0"/>
    <n v="1"/>
    <x v="0"/>
  </r>
  <r>
    <n v="174075356745024"/>
    <x v="14"/>
    <n v="0"/>
    <n v="1"/>
    <x v="0"/>
  </r>
  <r>
    <n v="174075356745024"/>
    <x v="15"/>
    <n v="1"/>
    <n v="1"/>
    <x v="1"/>
  </r>
  <r>
    <n v="174067299373268"/>
    <x v="15"/>
    <n v="1"/>
    <n v="1"/>
    <x v="1"/>
  </r>
  <r>
    <n v="174067299373268"/>
    <x v="16"/>
    <n v="0"/>
    <n v="1"/>
    <x v="0"/>
  </r>
  <r>
    <n v="174058332503576"/>
    <x v="17"/>
    <n v="0"/>
    <n v="1"/>
    <x v="0"/>
  </r>
  <r>
    <n v="174037702433562"/>
    <x v="18"/>
    <n v="0"/>
    <n v="1"/>
    <x v="0"/>
  </r>
  <r>
    <n v="174026206595017"/>
    <x v="5"/>
    <n v="1"/>
    <n v="1"/>
    <x v="1"/>
  </r>
  <r>
    <n v="173972919485563"/>
    <x v="0"/>
    <n v="0"/>
    <n v="1"/>
    <x v="0"/>
  </r>
  <r>
    <n v="173961191807457"/>
    <x v="19"/>
    <n v="0"/>
    <n v="1"/>
    <x v="0"/>
  </r>
  <r>
    <n v="173961191807457"/>
    <x v="20"/>
    <n v="0"/>
    <n v="1"/>
    <x v="0"/>
  </r>
  <r>
    <n v="173953404362535"/>
    <x v="7"/>
    <n v="0"/>
    <n v="1"/>
    <x v="0"/>
  </r>
  <r>
    <n v="173953404362535"/>
    <x v="8"/>
    <n v="1"/>
    <n v="1"/>
    <x v="1"/>
  </r>
  <r>
    <n v="173934793528823"/>
    <x v="5"/>
    <n v="1"/>
    <n v="1"/>
    <x v="1"/>
  </r>
  <r>
    <n v="173886476249693"/>
    <x v="5"/>
    <n v="1"/>
    <n v="1"/>
    <x v="1"/>
  </r>
  <r>
    <n v="173886476249693"/>
    <x v="21"/>
    <n v="1"/>
    <n v="1"/>
    <x v="1"/>
  </r>
  <r>
    <n v="173848012476255"/>
    <x v="5"/>
    <n v="1"/>
    <n v="1"/>
    <x v="1"/>
  </r>
  <r>
    <n v="173848012476255"/>
    <x v="22"/>
    <n v="1"/>
    <n v="1"/>
    <x v="1"/>
  </r>
  <r>
    <n v="173787961265182"/>
    <x v="23"/>
    <n v="1"/>
    <n v="1"/>
    <x v="1"/>
  </r>
  <r>
    <n v="173787961265182"/>
    <x v="24"/>
    <n v="0"/>
    <n v="1"/>
    <x v="0"/>
  </r>
  <r>
    <n v="173787961265182"/>
    <x v="17"/>
    <n v="0"/>
    <n v="1"/>
    <x v="0"/>
  </r>
  <r>
    <n v="173627120783219"/>
    <x v="25"/>
    <n v="0"/>
    <n v="1"/>
    <x v="0"/>
  </r>
  <r>
    <n v="173528899495632"/>
    <x v="12"/>
    <n v="1"/>
    <n v="1"/>
    <x v="1"/>
  </r>
  <r>
    <n v="173528899495632"/>
    <x v="0"/>
    <n v="0"/>
    <n v="2"/>
    <x v="0"/>
  </r>
  <r>
    <n v="173508364352211"/>
    <x v="26"/>
    <n v="1"/>
    <n v="1"/>
    <x v="1"/>
  </r>
  <r>
    <n v="173508364352211"/>
    <x v="27"/>
    <n v="1"/>
    <n v="2"/>
    <x v="1"/>
  </r>
  <r>
    <n v="173162395766364"/>
    <x v="6"/>
    <n v="1"/>
    <n v="2"/>
    <x v="1"/>
  </r>
  <r>
    <n v="173162395766364"/>
    <x v="27"/>
    <n v="1"/>
    <n v="1"/>
    <x v="1"/>
  </r>
  <r>
    <n v="173162271836174"/>
    <x v="27"/>
    <n v="1"/>
    <n v="1"/>
    <x v="1"/>
  </r>
  <r>
    <n v="173162271836174"/>
    <x v="6"/>
    <n v="1"/>
    <n v="2"/>
    <x v="1"/>
  </r>
  <r>
    <n v="173021459533483"/>
    <x v="28"/>
    <n v="0"/>
    <n v="1"/>
    <x v="0"/>
  </r>
  <r>
    <n v="172937451496694"/>
    <x v="29"/>
    <n v="0"/>
    <n v="1"/>
    <x v="0"/>
  </r>
  <r>
    <n v="172865582370674"/>
    <x v="30"/>
    <n v="1"/>
    <n v="1"/>
    <x v="1"/>
  </r>
  <r>
    <n v="172849812190412"/>
    <x v="7"/>
    <n v="0"/>
    <n v="1"/>
    <x v="0"/>
  </r>
  <r>
    <n v="172765721740638"/>
    <x v="31"/>
    <n v="0"/>
    <n v="1"/>
    <x v="0"/>
  </r>
  <r>
    <n v="172765721740638"/>
    <x v="32"/>
    <n v="0"/>
    <n v="1"/>
    <x v="0"/>
  </r>
  <r>
    <n v="172415621290914"/>
    <x v="32"/>
    <n v="0"/>
    <n v="1"/>
    <x v="0"/>
  </r>
  <r>
    <n v="171120236353593"/>
    <x v="32"/>
    <n v="0"/>
    <n v="1"/>
    <x v="0"/>
  </r>
  <r>
    <n v="170949181342493"/>
    <x v="32"/>
    <n v="0"/>
    <n v="1"/>
    <x v="0"/>
  </r>
  <r>
    <n v="170849767634192"/>
    <x v="32"/>
    <n v="0"/>
    <n v="1"/>
    <x v="0"/>
  </r>
  <r>
    <n v="170326417874188"/>
    <x v="33"/>
    <n v="0"/>
    <n v="1"/>
    <x v="0"/>
  </r>
  <r>
    <n v="169997934599848"/>
    <x v="33"/>
    <n v="0"/>
    <n v="1"/>
    <x v="0"/>
  </r>
  <r>
    <n v="169997934599848"/>
    <x v="34"/>
    <n v="0"/>
    <n v="1"/>
    <x v="0"/>
  </r>
  <r>
    <n v="169054716176265"/>
    <x v="33"/>
    <n v="0"/>
    <n v="1"/>
    <x v="0"/>
  </r>
  <r>
    <n v="168959031219038"/>
    <x v="34"/>
    <n v="0"/>
    <n v="1"/>
    <x v="0"/>
  </r>
  <r>
    <n v="168877172918547"/>
    <x v="35"/>
    <n v="0"/>
    <n v="1"/>
    <x v="0"/>
  </r>
  <r>
    <n v="168622214022977"/>
    <x v="34"/>
    <n v="0"/>
    <n v="1"/>
    <x v="0"/>
  </r>
  <r>
    <n v="168513609258675"/>
    <x v="2"/>
    <n v="0"/>
    <n v="1"/>
    <x v="0"/>
  </r>
  <r>
    <n v="168513609258675"/>
    <x v="36"/>
    <n v="0"/>
    <n v="1"/>
    <x v="0"/>
  </r>
  <r>
    <n v="168438354785516"/>
    <x v="9"/>
    <n v="1"/>
    <n v="1"/>
    <x v="1"/>
  </r>
  <r>
    <n v="168293863851738"/>
    <x v="37"/>
    <n v="1"/>
    <n v="1"/>
    <x v="1"/>
  </r>
  <r>
    <n v="168293863851738"/>
    <x v="38"/>
    <n v="1"/>
    <n v="1"/>
    <x v="1"/>
  </r>
  <r>
    <n v="168028113662672"/>
    <x v="39"/>
    <n v="0"/>
    <n v="1"/>
    <x v="0"/>
  </r>
  <r>
    <n v="168013539245633"/>
    <x v="34"/>
    <n v="0"/>
    <n v="1"/>
    <x v="0"/>
  </r>
  <r>
    <n v="167927988529759"/>
    <x v="39"/>
    <n v="0"/>
    <n v="1"/>
    <x v="0"/>
  </r>
  <r>
    <n v="167230102604894"/>
    <x v="40"/>
    <n v="0"/>
    <n v="1"/>
    <x v="0"/>
  </r>
  <r>
    <n v="167230102604894"/>
    <x v="41"/>
    <n v="0"/>
    <n v="1"/>
    <x v="0"/>
  </r>
  <r>
    <n v="167065261006312"/>
    <x v="42"/>
    <n v="0"/>
    <n v="1"/>
    <x v="0"/>
  </r>
  <r>
    <n v="167041647226680"/>
    <x v="34"/>
    <n v="0"/>
    <n v="1"/>
    <x v="0"/>
  </r>
  <r>
    <n v="166952305677312"/>
    <x v="43"/>
    <n v="1"/>
    <n v="1"/>
    <x v="1"/>
  </r>
  <r>
    <n v="166803724653459"/>
    <x v="44"/>
    <n v="0"/>
    <n v="1"/>
    <x v="0"/>
  </r>
  <r>
    <n v="165960896748502"/>
    <x v="45"/>
    <n v="1"/>
    <n v="1"/>
    <x v="1"/>
  </r>
  <r>
    <n v="165960896748502"/>
    <x v="46"/>
    <n v="1"/>
    <n v="1"/>
    <x v="1"/>
  </r>
  <r>
    <n v="165923274381702"/>
    <x v="47"/>
    <n v="0"/>
    <n v="1"/>
    <x v="0"/>
  </r>
  <r>
    <n v="165854296189400"/>
    <x v="39"/>
    <n v="0"/>
    <n v="1"/>
    <x v="0"/>
  </r>
  <r>
    <n v="165409130967084"/>
    <x v="39"/>
    <n v="0"/>
    <n v="1"/>
    <x v="0"/>
  </r>
  <r>
    <n v="165341581288776"/>
    <x v="48"/>
    <n v="1"/>
    <n v="1"/>
    <x v="1"/>
  </r>
  <r>
    <n v="164743294943602"/>
    <x v="49"/>
    <n v="1"/>
    <n v="1"/>
    <x v="1"/>
  </r>
  <r>
    <n v="164743294943602"/>
    <x v="49"/>
    <n v="1"/>
    <n v="1"/>
    <x v="1"/>
  </r>
  <r>
    <n v="164714296625099"/>
    <x v="39"/>
    <n v="0"/>
    <n v="1"/>
    <x v="0"/>
  </r>
  <r>
    <n v="164376172877898"/>
    <x v="50"/>
    <n v="0"/>
    <n v="1"/>
    <x v="0"/>
  </r>
  <r>
    <n v="164376172877898"/>
    <x v="43"/>
    <n v="1"/>
    <n v="1"/>
    <x v="1"/>
  </r>
  <r>
    <n v="164376172877898"/>
    <x v="51"/>
    <n v="0"/>
    <n v="1"/>
    <x v="0"/>
  </r>
  <r>
    <n v="164376027513893"/>
    <x v="51"/>
    <n v="0"/>
    <n v="1"/>
    <x v="0"/>
  </r>
  <r>
    <n v="164376027513893"/>
    <x v="43"/>
    <n v="1"/>
    <n v="1"/>
    <x v="1"/>
  </r>
  <r>
    <n v="164191765873335"/>
    <x v="52"/>
    <n v="0"/>
    <n v="1"/>
    <x v="0"/>
  </r>
  <r>
    <n v="164191765873335"/>
    <x v="53"/>
    <n v="1"/>
    <n v="1"/>
    <x v="1"/>
  </r>
  <r>
    <n v="163711888473406"/>
    <x v="54"/>
    <n v="1"/>
    <n v="1"/>
    <x v="1"/>
  </r>
  <r>
    <n v="163004675209983"/>
    <x v="40"/>
    <n v="0"/>
    <n v="1"/>
    <x v="0"/>
  </r>
  <r>
    <n v="163004675209983"/>
    <x v="41"/>
    <n v="0"/>
    <n v="1"/>
    <x v="0"/>
  </r>
  <r>
    <n v="163004361179135"/>
    <x v="9"/>
    <n v="1"/>
    <n v="1"/>
    <x v="1"/>
  </r>
  <r>
    <n v="162553743923962"/>
    <x v="55"/>
    <n v="0"/>
    <n v="1"/>
    <x v="0"/>
  </r>
  <r>
    <n v="162553743923962"/>
    <x v="56"/>
    <n v="0"/>
    <n v="1"/>
    <x v="0"/>
  </r>
  <r>
    <n v="162461263812077"/>
    <x v="56"/>
    <n v="0"/>
    <n v="1"/>
    <x v="0"/>
  </r>
  <r>
    <n v="161080636531967"/>
    <x v="57"/>
    <n v="0"/>
    <n v="1"/>
    <x v="0"/>
  </r>
  <r>
    <n v="160474594456670"/>
    <x v="58"/>
    <n v="0"/>
    <n v="1"/>
    <x v="0"/>
  </r>
  <r>
    <n v="159955886050893"/>
    <x v="59"/>
    <n v="0"/>
    <n v="1"/>
    <x v="0"/>
  </r>
  <r>
    <n v="159955886050893"/>
    <x v="60"/>
    <n v="1"/>
    <n v="3"/>
    <x v="1"/>
  </r>
  <r>
    <n v="159700431113615"/>
    <x v="61"/>
    <n v="1"/>
    <n v="1"/>
    <x v="1"/>
  </r>
  <r>
    <n v="159700431113615"/>
    <x v="62"/>
    <n v="1"/>
    <n v="1"/>
    <x v="1"/>
  </r>
  <r>
    <n v="159024606634682"/>
    <x v="60"/>
    <n v="1"/>
    <n v="2"/>
    <x v="1"/>
  </r>
  <r>
    <n v="159024606634682"/>
    <x v="63"/>
    <n v="1"/>
    <n v="2"/>
    <x v="1"/>
  </r>
  <r>
    <n v="159024606634682"/>
    <x v="64"/>
    <n v="1"/>
    <n v="1"/>
    <x v="1"/>
  </r>
  <r>
    <n v="159024606634682"/>
    <x v="64"/>
    <n v="1"/>
    <n v="1"/>
    <x v="1"/>
  </r>
  <r>
    <n v="159024606634682"/>
    <x v="65"/>
    <n v="0"/>
    <n v="1"/>
    <x v="0"/>
  </r>
  <r>
    <n v="158421216354293"/>
    <x v="66"/>
    <n v="0"/>
    <n v="1"/>
    <x v="0"/>
  </r>
  <r>
    <n v="158421216354293"/>
    <x v="67"/>
    <n v="0"/>
    <n v="1"/>
    <x v="0"/>
  </r>
  <r>
    <n v="158334414702466"/>
    <x v="29"/>
    <n v="0"/>
    <n v="1"/>
    <x v="0"/>
  </r>
  <r>
    <n v="158133339719955"/>
    <x v="32"/>
    <n v="0"/>
    <n v="1"/>
    <x v="0"/>
  </r>
  <r>
    <n v="158078123542130"/>
    <x v="68"/>
    <n v="0"/>
    <n v="1"/>
    <x v="0"/>
  </r>
  <r>
    <n v="158041541026826"/>
    <x v="69"/>
    <n v="0"/>
    <n v="1"/>
    <x v="0"/>
  </r>
  <r>
    <n v="157279336071863"/>
    <x v="70"/>
    <n v="0"/>
    <n v="1"/>
    <x v="0"/>
  </r>
  <r>
    <n v="157212479386394"/>
    <x v="71"/>
    <n v="0"/>
    <n v="1"/>
    <x v="0"/>
  </r>
  <r>
    <n v="157095860714592"/>
    <x v="72"/>
    <n v="1"/>
    <n v="1"/>
    <x v="1"/>
  </r>
  <r>
    <n v="157095860714592"/>
    <x v="52"/>
    <n v="0"/>
    <n v="1"/>
    <x v="0"/>
  </r>
  <r>
    <n v="156956128612767"/>
    <x v="73"/>
    <n v="1"/>
    <n v="1"/>
    <x v="1"/>
  </r>
  <r>
    <n v="156956128612767"/>
    <x v="70"/>
    <n v="0"/>
    <n v="1"/>
    <x v="0"/>
  </r>
  <r>
    <n v="156923241346336"/>
    <x v="59"/>
    <n v="0"/>
    <n v="1"/>
    <x v="0"/>
  </r>
  <r>
    <n v="156923241346336"/>
    <x v="74"/>
    <n v="1"/>
    <n v="1"/>
    <x v="1"/>
  </r>
  <r>
    <n v="156923241346336"/>
    <x v="63"/>
    <n v="1"/>
    <n v="2"/>
    <x v="1"/>
  </r>
  <r>
    <n v="156923241346336"/>
    <x v="60"/>
    <n v="1"/>
    <n v="1"/>
    <x v="1"/>
  </r>
  <r>
    <n v="156864275866899"/>
    <x v="75"/>
    <n v="0"/>
    <n v="1"/>
    <x v="0"/>
  </r>
  <r>
    <n v="156864275866899"/>
    <x v="60"/>
    <n v="1"/>
    <n v="3"/>
    <x v="1"/>
  </r>
  <r>
    <n v="156652104418064"/>
    <x v="76"/>
    <n v="1"/>
    <n v="1"/>
    <x v="1"/>
  </r>
  <r>
    <n v="156652104418064"/>
    <x v="77"/>
    <n v="1"/>
    <n v="1"/>
    <x v="1"/>
  </r>
  <r>
    <n v="156652104418064"/>
    <x v="78"/>
    <n v="1"/>
    <n v="1"/>
    <x v="1"/>
  </r>
  <r>
    <n v="155826395288522"/>
    <x v="79"/>
    <n v="0"/>
    <n v="1"/>
    <x v="0"/>
  </r>
  <r>
    <n v="154933952448406"/>
    <x v="53"/>
    <n v="1"/>
    <n v="1"/>
    <x v="1"/>
  </r>
  <r>
    <n v="154933952448406"/>
    <x v="72"/>
    <n v="1"/>
    <n v="1"/>
    <x v="1"/>
  </r>
  <r>
    <n v="154933952448406"/>
    <x v="80"/>
    <n v="0"/>
    <n v="1"/>
    <x v="0"/>
  </r>
  <r>
    <n v="178713153585"/>
    <x v="64"/>
    <n v="1"/>
    <n v="1"/>
    <x v="1"/>
  </r>
  <r>
    <n v="178713153585"/>
    <x v="81"/>
    <n v="0"/>
    <n v="1"/>
    <x v="0"/>
  </r>
  <r>
    <n v="178539970232"/>
    <x v="82"/>
    <n v="1"/>
    <n v="1"/>
    <x v="1"/>
  </r>
  <r>
    <n v="178180906036"/>
    <x v="79"/>
    <n v="0"/>
    <n v="1"/>
    <x v="0"/>
  </r>
  <r>
    <n v="178180906036"/>
    <x v="83"/>
    <n v="0"/>
    <n v="1"/>
    <x v="0"/>
  </r>
  <r>
    <n v="178090781440"/>
    <x v="69"/>
    <n v="0"/>
    <n v="1"/>
    <x v="0"/>
  </r>
  <r>
    <n v="177591184372"/>
    <x v="58"/>
    <n v="0"/>
    <n v="1"/>
    <x v="0"/>
  </r>
  <r>
    <n v="177445532607"/>
    <x v="84"/>
    <n v="0"/>
    <n v="1"/>
    <x v="0"/>
  </r>
  <r>
    <n v="177445532607"/>
    <x v="85"/>
    <n v="1"/>
    <n v="1"/>
    <x v="1"/>
  </r>
  <r>
    <n v="177445532607"/>
    <x v="86"/>
    <n v="0"/>
    <n v="1"/>
    <x v="0"/>
  </r>
  <r>
    <n v="177445532607"/>
    <x v="87"/>
    <n v="0"/>
    <n v="1"/>
    <x v="0"/>
  </r>
  <r>
    <n v="177265186487"/>
    <x v="88"/>
    <n v="0"/>
    <n v="1"/>
    <x v="0"/>
  </r>
  <r>
    <n v="177265186487"/>
    <x v="89"/>
    <n v="0"/>
    <n v="1"/>
    <x v="0"/>
  </r>
  <r>
    <n v="177265186487"/>
    <x v="90"/>
    <n v="0"/>
    <n v="1"/>
    <x v="0"/>
  </r>
  <r>
    <n v="177265186487"/>
    <x v="84"/>
    <n v="0"/>
    <n v="1"/>
    <x v="0"/>
  </r>
  <r>
    <n v="176793394432"/>
    <x v="91"/>
    <n v="1"/>
    <n v="1"/>
    <x v="1"/>
  </r>
  <r>
    <n v="176793394432"/>
    <x v="92"/>
    <n v="1"/>
    <n v="1"/>
    <x v="1"/>
  </r>
  <r>
    <n v="176745115332"/>
    <x v="9"/>
    <n v="1"/>
    <n v="1"/>
    <x v="1"/>
  </r>
  <r>
    <n v="176716772573"/>
    <x v="93"/>
    <n v="0"/>
    <n v="1"/>
    <x v="0"/>
  </r>
  <r>
    <n v="176451044220"/>
    <x v="94"/>
    <n v="0"/>
    <n v="1"/>
    <x v="0"/>
  </r>
  <r>
    <n v="176221057630"/>
    <x v="95"/>
    <n v="0"/>
    <n v="1"/>
    <x v="0"/>
  </r>
  <r>
    <n v="175968970700"/>
    <x v="96"/>
    <n v="1"/>
    <n v="2"/>
    <x v="1"/>
  </r>
  <r>
    <n v="175192473312"/>
    <x v="97"/>
    <n v="0"/>
    <n v="1"/>
    <x v="0"/>
  </r>
  <r>
    <n v="175192473312"/>
    <x v="98"/>
    <n v="0"/>
    <n v="1"/>
    <x v="0"/>
  </r>
  <r>
    <n v="174983850554"/>
    <x v="99"/>
    <n v="0"/>
    <n v="1"/>
    <x v="0"/>
  </r>
  <r>
    <n v="174983850554"/>
    <x v="100"/>
    <n v="0"/>
    <n v="1"/>
    <x v="0"/>
  </r>
  <r>
    <n v="174983850554"/>
    <x v="101"/>
    <n v="0"/>
    <n v="1"/>
    <x v="0"/>
  </r>
  <r>
    <n v="174647551706"/>
    <x v="102"/>
    <n v="1"/>
    <n v="1"/>
    <x v="1"/>
  </r>
  <r>
    <n v="174647551706"/>
    <x v="103"/>
    <n v="1"/>
    <n v="1"/>
    <x v="1"/>
  </r>
  <r>
    <n v="174644435956"/>
    <x v="93"/>
    <n v="0"/>
    <n v="1"/>
    <x v="0"/>
  </r>
  <r>
    <n v="174559415025"/>
    <x v="104"/>
    <n v="0"/>
    <n v="1"/>
    <x v="0"/>
  </r>
  <r>
    <n v="174376605060"/>
    <x v="105"/>
    <n v="0"/>
    <n v="1"/>
    <x v="0"/>
  </r>
  <r>
    <n v="174376605060"/>
    <x v="106"/>
    <n v="0"/>
    <n v="1"/>
    <x v="0"/>
  </r>
  <r>
    <n v="172557699296"/>
    <x v="107"/>
    <n v="1"/>
    <n v="1"/>
    <x v="1"/>
  </r>
  <r>
    <n v="171953923401"/>
    <x v="108"/>
    <n v="0"/>
    <n v="1"/>
    <x v="0"/>
  </r>
  <r>
    <n v="171953923401"/>
    <x v="109"/>
    <n v="0"/>
    <n v="1"/>
    <x v="0"/>
  </r>
  <r>
    <n v="171863054117"/>
    <x v="107"/>
    <n v="1"/>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7706E-DE9F-4E3C-9437-AADEC3FB1E6F}" name="PivotTable14"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C116:D122" firstHeaderRow="1"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axis="axisRow" showAll="0" sortType="descending">
      <items count="7">
        <item x="0"/>
        <item x="4"/>
        <item x="3"/>
        <item x="2"/>
        <item x="5"/>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35"/>
  </rowFields>
  <rowItems count="6">
    <i>
      <x v="2"/>
    </i>
    <i>
      <x/>
    </i>
    <i>
      <x v="5"/>
    </i>
    <i>
      <x v="3"/>
    </i>
    <i>
      <x v="1"/>
    </i>
    <i t="grand">
      <x/>
    </i>
  </rowItems>
  <colItems count="1">
    <i/>
  </colItems>
  <dataFields count="1">
    <dataField name="Count of order_id" fld="0" subtotal="count"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5" count="1" selected="0">
            <x v="2"/>
          </reference>
        </references>
      </pivotArea>
    </chartFormat>
    <chartFormat chart="3" format="10">
      <pivotArea type="data" outline="0" fieldPosition="0">
        <references count="2">
          <reference field="4294967294" count="1" selected="0">
            <x v="0"/>
          </reference>
          <reference field="35" count="1" selected="0">
            <x v="0"/>
          </reference>
        </references>
      </pivotArea>
    </chartFormat>
    <chartFormat chart="3" format="11">
      <pivotArea type="data" outline="0" fieldPosition="0">
        <references count="2">
          <reference field="4294967294" count="1" selected="0">
            <x v="0"/>
          </reference>
          <reference field="35" count="1" selected="0">
            <x v="5"/>
          </reference>
        </references>
      </pivotArea>
    </chartFormat>
    <chartFormat chart="3" format="12">
      <pivotArea type="data" outline="0" fieldPosition="0">
        <references count="2">
          <reference field="4294967294" count="1" selected="0">
            <x v="0"/>
          </reference>
          <reference field="35" count="1" selected="0">
            <x v="3"/>
          </reference>
        </references>
      </pivotArea>
    </chartFormat>
    <chartFormat chart="3" format="13">
      <pivotArea type="data" outline="0" fieldPosition="0">
        <references count="2">
          <reference field="4294967294" count="1" selected="0">
            <x v="0"/>
          </reference>
          <reference field="35" count="1" selected="0">
            <x v="1"/>
          </reference>
        </references>
      </pivotArea>
    </chartFormat>
    <chartFormat chart="3" format="14">
      <pivotArea type="data" outline="0" fieldPosition="0">
        <references count="2">
          <reference field="4294967294" count="1" selected="0">
            <x v="0"/>
          </reference>
          <reference field="35" count="1" selected="0">
            <x v="4"/>
          </reference>
        </references>
      </pivotArea>
    </chartFormat>
  </chartFormat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93C795-1ECA-43AA-9EA3-DD01CA8C2FFD}" name="PivotTable13"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100:D108" firstHeaderRow="1"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axis="axisRow" showAll="0" sortType="descending">
      <items count="8">
        <item x="5"/>
        <item x="1"/>
        <item x="0"/>
        <item x="4"/>
        <item x="6"/>
        <item x="3"/>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defaultSubtotal="0"/>
    <pivotField showAll="0" defaultSubtotal="0"/>
    <pivotField showAll="0" defaultSubtotal="0">
      <items count="4">
        <item x="0"/>
        <item x="1"/>
        <item x="2"/>
        <item x="3"/>
      </items>
    </pivotField>
  </pivotFields>
  <rowFields count="1">
    <field x="34"/>
  </rowFields>
  <rowItems count="8">
    <i>
      <x v="2"/>
    </i>
    <i>
      <x v="6"/>
    </i>
    <i>
      <x v="1"/>
    </i>
    <i>
      <x/>
    </i>
    <i>
      <x v="5"/>
    </i>
    <i>
      <x v="4"/>
    </i>
    <i>
      <x v="3"/>
    </i>
    <i t="grand">
      <x/>
    </i>
  </rowItems>
  <colItems count="1">
    <i/>
  </colItems>
  <dataFields count="1">
    <dataField name="Count of order_id" fld="0" subtotal="count" showDataAs="percentOfTotal" baseField="0" baseItem="0" numFmtId="1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5FE6F-6B02-4B1D-9670-E7C7F31C469E}" name="PivotTable1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7:C80" firstHeaderRow="1" firstDataRow="1" firstDataCol="1"/>
  <pivotFields count="5">
    <pivotField dataField="1" numFmtId="1" showAll="0"/>
    <pivotField showAll="0"/>
    <pivotField showAll="0"/>
    <pivotField showAll="0"/>
    <pivotField axis="axisRow" showAll="0">
      <items count="3">
        <item x="0"/>
        <item x="1"/>
        <item t="default"/>
      </items>
    </pivotField>
  </pivotFields>
  <rowFields count="1">
    <field x="4"/>
  </rowFields>
  <rowItems count="3">
    <i>
      <x/>
    </i>
    <i>
      <x v="1"/>
    </i>
    <i t="grand">
      <x/>
    </i>
  </rowItems>
  <colItems count="1">
    <i/>
  </colItems>
  <dataFields count="1">
    <dataField name="Count of order_id" fld="0" subtotal="count" showDataAs="percentOfTotal" baseField="0" baseItem="0" numFmtId="10"/>
  </dataFields>
  <chartFormats count="7">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632FA9-FD13-4828-BB82-8C4442BC114A}" name="MOM Trend Analysis"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51:D60" firstHeaderRow="0"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39"/>
    <field x="38"/>
    <field x="37"/>
    <field x="32"/>
  </rowFields>
  <rowItems count="9">
    <i>
      <x v="2"/>
    </i>
    <i r="1">
      <x v="1"/>
    </i>
    <i r="2">
      <x v="1"/>
    </i>
    <i r="2">
      <x v="2"/>
    </i>
    <i r="2">
      <x v="3"/>
    </i>
    <i r="1">
      <x v="2"/>
    </i>
    <i r="2">
      <x v="4"/>
    </i>
    <i r="2">
      <x v="5"/>
    </i>
    <i t="grand">
      <x/>
    </i>
  </rowItems>
  <colFields count="1">
    <field x="-2"/>
  </colFields>
  <colItems count="2">
    <i>
      <x/>
    </i>
    <i i="1">
      <x v="1"/>
    </i>
  </colItems>
  <dataFields count="2">
    <dataField name="Count of order_id" fld="0" subtotal="count" baseField="0" baseItem="0"/>
    <dataField name="Sum of net_total" fld="17"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DB40B-E0A0-4FE9-927B-7B9C1D9A14A3}" name="PivotTable10"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25:C35" firstHeaderRow="1"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sortType="descending">
      <items count="18">
        <item x="9"/>
        <item x="3"/>
        <item x="8"/>
        <item x="7"/>
        <item x="6"/>
        <item x="10"/>
        <item x="12"/>
        <item x="4"/>
        <item x="2"/>
        <item x="1"/>
        <item x="15"/>
        <item x="14"/>
        <item x="0"/>
        <item x="5"/>
        <item x="13"/>
        <item x="16"/>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8"/>
  </rowFields>
  <rowItems count="10">
    <i>
      <x v="12"/>
    </i>
    <i>
      <x v="9"/>
    </i>
    <i>
      <x v="13"/>
    </i>
    <i>
      <x v="7"/>
    </i>
    <i>
      <x v="4"/>
    </i>
    <i>
      <x v="8"/>
    </i>
    <i>
      <x v="3"/>
    </i>
    <i>
      <x v="1"/>
    </i>
    <i>
      <x v="2"/>
    </i>
    <i t="grand">
      <x/>
    </i>
  </rowItems>
  <colItems count="1">
    <i/>
  </colItems>
  <dataFields count="1">
    <dataField name="Count of order_id" fld="0" subtotal="count" showDataAs="percentOfTotal" baseField="0" baseItem="0" numFmtId="1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2" type="dateBetween" evalOrder="-1" id="56"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07062-9E38-46FC-8A9B-1A2634782988}" name="PivotTable9"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7:B18" firstHeaderRow="1" firstDataRow="1" firstDataCol="0"/>
  <pivotFields count="4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restaurant_customer_distance" fld="22" subtotal="average"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A241F9-01F1-4D3C-9C86-4ECA57C59C67}" name="PivotTable8"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2:B13" firstHeaderRow="1" firstDataRow="1" firstDataCol="0"/>
  <pivotFields count="4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delivery_time_in_seconds" fld="14" subtotal="average"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F2F840-363C-44C7-B13D-0E5592436757}" name="PivotTable7"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6:I18" firstHeaderRow="1"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
        <item x="1"/>
        <item x="0"/>
        <item x="2"/>
        <item t="default"/>
      </items>
    </pivotField>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2">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2">
    <filter fld="32" type="dateBetween" evalOrder="-1" id="53"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2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F9780B-5974-4EAB-9A97-78BCF7CA7AD7}" name="PivotTable6"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0:I13" firstHeaderRow="1" firstDataRow="1" firstDataCol="1"/>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measureFilter="1">
      <items count="44">
        <item x="30"/>
        <item x="18"/>
        <item x="14"/>
        <item x="23"/>
        <item x="41"/>
        <item x="10"/>
        <item x="5"/>
        <item x="19"/>
        <item x="27"/>
        <item x="34"/>
        <item x="4"/>
        <item x="39"/>
        <item x="11"/>
        <item x="9"/>
        <item x="32"/>
        <item x="31"/>
        <item x="36"/>
        <item x="29"/>
        <item x="38"/>
        <item x="40"/>
        <item x="12"/>
        <item x="8"/>
        <item x="22"/>
        <item x="6"/>
        <item x="1"/>
        <item x="17"/>
        <item x="21"/>
        <item x="0"/>
        <item x="33"/>
        <item x="3"/>
        <item x="16"/>
        <item x="13"/>
        <item x="15"/>
        <item x="42"/>
        <item x="24"/>
        <item x="20"/>
        <item x="25"/>
        <item x="2"/>
        <item x="28"/>
        <item x="37"/>
        <item x="7"/>
        <item x="35"/>
        <item x="26"/>
        <item t="default"/>
      </items>
    </pivotField>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9"/>
  </rowFields>
  <rowItems count="3">
    <i>
      <x v="29"/>
    </i>
    <i>
      <x v="31"/>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2">
    <filter fld="32" type="dateBetween" evalOrder="-1" id="53"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 fld="2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EDE692-71C7-412D-8AA7-9BEB390E4DE7}"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6" firstHeaderRow="1" firstDataRow="1" firstDataCol="1"/>
  <pivotFields count="5">
    <pivotField dataField="1" numFmtId="1" showAll="0"/>
    <pivotField axis="axisRow" showAll="0" measureFilter="1">
      <items count="111">
        <item x="84"/>
        <item x="53"/>
        <item x="104"/>
        <item x="63"/>
        <item x="4"/>
        <item x="34"/>
        <item x="6"/>
        <item x="96"/>
        <item x="102"/>
        <item x="30"/>
        <item x="54"/>
        <item x="87"/>
        <item x="41"/>
        <item x="79"/>
        <item x="85"/>
        <item x="12"/>
        <item x="92"/>
        <item x="68"/>
        <item x="81"/>
        <item x="66"/>
        <item x="31"/>
        <item x="67"/>
        <item x="10"/>
        <item x="52"/>
        <item x="7"/>
        <item x="80"/>
        <item x="98"/>
        <item x="36"/>
        <item x="101"/>
        <item x="59"/>
        <item x="65"/>
        <item x="91"/>
        <item x="43"/>
        <item x="15"/>
        <item x="62"/>
        <item x="106"/>
        <item x="77"/>
        <item x="8"/>
        <item x="90"/>
        <item x="108"/>
        <item x="20"/>
        <item x="5"/>
        <item x="69"/>
        <item x="37"/>
        <item x="88"/>
        <item x="86"/>
        <item x="73"/>
        <item x="72"/>
        <item x="70"/>
        <item x="35"/>
        <item x="71"/>
        <item x="100"/>
        <item x="29"/>
        <item x="60"/>
        <item x="76"/>
        <item x="95"/>
        <item x="109"/>
        <item x="17"/>
        <item x="47"/>
        <item x="78"/>
        <item x="75"/>
        <item x="39"/>
        <item x="48"/>
        <item x="0"/>
        <item x="27"/>
        <item x="22"/>
        <item x="16"/>
        <item x="45"/>
        <item x="3"/>
        <item x="2"/>
        <item x="49"/>
        <item x="105"/>
        <item x="74"/>
        <item x="23"/>
        <item x="40"/>
        <item x="51"/>
        <item x="38"/>
        <item x="11"/>
        <item x="107"/>
        <item x="89"/>
        <item x="14"/>
        <item x="97"/>
        <item x="56"/>
        <item x="61"/>
        <item x="103"/>
        <item x="18"/>
        <item x="42"/>
        <item x="83"/>
        <item x="25"/>
        <item x="26"/>
        <item x="19"/>
        <item x="33"/>
        <item x="99"/>
        <item x="50"/>
        <item x="46"/>
        <item x="32"/>
        <item x="21"/>
        <item x="94"/>
        <item x="13"/>
        <item x="58"/>
        <item x="82"/>
        <item x="1"/>
        <item x="57"/>
        <item x="44"/>
        <item x="64"/>
        <item x="24"/>
        <item x="93"/>
        <item x="55"/>
        <item x="9"/>
        <item x="28"/>
        <item t="default"/>
      </items>
    </pivotField>
    <pivotField showAll="0"/>
    <pivotField showAll="0"/>
    <pivotField showAll="0"/>
  </pivotFields>
  <rowFields count="1">
    <field x="1"/>
  </rowFields>
  <rowItems count="2">
    <i>
      <x v="95"/>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CD29C2-D91C-4A30-B428-C0478EE97CDF}" name="PivotTable4"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I2" firstHeaderRow="0" firstDataRow="1" firstDataCol="0"/>
  <pivotFields count="4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Discount" fld="31" baseField="0" baseItem="0"/>
    <dataField name="Sum of free_delivery_discount_hit" fld="19"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DC6849-BDE6-4992-91DA-E81D83DDD7BF}" name="PivotTable3"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4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net_total" fld="17" subtotal="average"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7E0413-595B-4732-8F0F-EFC717184F06}" name="PivotTable2"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B5" firstHeaderRow="1" firstDataRow="1" firstDataCol="0"/>
  <pivotFields count="4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3E6303-B511-4CCB-9EB3-2DC53551B34A}" name="PivotTable1"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B2" firstHeaderRow="1" firstDataRow="1" firstDataCol="0"/>
  <pivotFields count="4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numFmtId="14" showAll="0">
      <items count="86">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7"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_total" fld="17" baseField="0" baseItem="0"/>
  </dataFields>
  <pivotTableStyleInfo name="PivotStyleLight16" showRowHeaders="1" showColHeaders="1" showRowStripes="0" showColStripes="0" showLastColumn="1"/>
  <filters count="1">
    <filter fld="32" type="dateBetween" evalOrder="-1" id="5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2CAAD24-6741-44F5-9352-BC355CB6F694}" sourceName="order_status">
  <pivotTables>
    <pivotTable tabId="5" name="PivotTable10"/>
    <pivotTable tabId="5" name="MOM Trend Analysis"/>
    <pivotTable tabId="5" name="PivotTable1"/>
    <pivotTable tabId="5" name="PivotTable13"/>
    <pivotTable tabId="5" name="PivotTable14"/>
    <pivotTable tabId="5" name="PivotTable2"/>
    <pivotTable tabId="5" name="PivotTable3"/>
    <pivotTable tabId="5" name="PivotTable4"/>
    <pivotTable tabId="5" name="PivotTable6"/>
    <pivotTable tabId="5" name="PivotTable7"/>
    <pivotTable tabId="5" name="PivotTable8"/>
    <pivotTable tabId="5" name="PivotTable9"/>
  </pivotTables>
  <data>
    <tabular pivotCacheId="12183891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_time" xr10:uid="{8B20701C-EC91-404A-B074-B5A3B2EAC9A8}" sourceName="on_time">
  <pivotTables>
    <pivotTable tabId="5" name="PivotTable10"/>
    <pivotTable tabId="5" name="MOM Trend Analysis"/>
    <pivotTable tabId="5" name="PivotTable1"/>
    <pivotTable tabId="5" name="PivotTable13"/>
    <pivotTable tabId="5" name="PivotTable14"/>
    <pivotTable tabId="5" name="PivotTable2"/>
    <pivotTable tabId="5" name="PivotTable3"/>
    <pivotTable tabId="5" name="PivotTable4"/>
    <pivotTable tabId="5" name="PivotTable6"/>
    <pivotTable tabId="5" name="PivotTable7"/>
    <pivotTable tabId="5" name="PivotTable8"/>
    <pivotTable tabId="5" name="PivotTable9"/>
  </pivotTables>
  <data>
    <tabular pivotCacheId="12183891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in_mode_updated" xr10:uid="{82BD6892-8DEC-4BAF-BEB8-2F96EC39D4A3}" sourceName="Rain_mode_updated">
  <pivotTables>
    <pivotTable tabId="5" name="PivotTable10"/>
    <pivotTable tabId="5" name="MOM Trend Analysis"/>
    <pivotTable tabId="5" name="PivotTable1"/>
    <pivotTable tabId="5" name="PivotTable13"/>
    <pivotTable tabId="5" name="PivotTable14"/>
    <pivotTable tabId="5" name="PivotTable2"/>
    <pivotTable tabId="5" name="PivotTable3"/>
    <pivotTable tabId="5" name="PivotTable4"/>
    <pivotTable tabId="5" name="PivotTable6"/>
    <pivotTable tabId="5" name="PivotTable7"/>
    <pivotTable tabId="5" name="PivotTable8"/>
    <pivotTable tabId="5" name="PivotTable9"/>
  </pivotTables>
  <data>
    <tabular pivotCacheId="12183891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7F066100-1B6B-4B7B-A099-CA04B28EE232}" cache="Slicer_order_status" caption="order_status" rowHeight="241300"/>
  <slicer name="on_time" xr10:uid="{96B1852B-5E37-4AEB-9AFE-B3B4623F25FF}" cache="Slicer_on_time" caption="on_time" rowHeight="241300"/>
  <slicer name="Rain_mode_updated" xr10:uid="{493B3094-C82A-43EE-92FD-870EA7BB97F0}" cache="Slicer_Rain_mode_updated" caption="Rain_mode_updat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3BE71BA2-EBFD-4F52-865F-7898E64E69BB}" cache="Slicer_order_status" caption="order_status" rowHeight="241300"/>
  <slicer name="on_time 1" xr10:uid="{C3B102CA-D796-4287-AE85-A078A383A87C}" cache="Slicer_on_time" caption="on_time" rowHeight="241300"/>
  <slicer name="Rain_mode_updated 1" xr10:uid="{47AA0E22-C98B-44D4-9ABC-C05FD30CBA3B}" cache="Slicer_Rain_mode_updated" caption="Rain_mode_updat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0C3E4-3C35-40C0-8EDA-878DBBF74280}" name="Orders" displayName="Orders" ref="A1:AK108" totalsRowShown="0" headerRowDxfId="2">
  <autoFilter ref="A1:AK108" xr:uid="{E360C3E4-3C35-40C0-8EDA-878DBBF74280}"/>
  <tableColumns count="37">
    <tableColumn id="1" xr3:uid="{03ABF845-7451-42B5-B0DC-EE8382E6D8AC}" name="order_id"/>
    <tableColumn id="2" xr3:uid="{FAD8BC6F-06BF-44E7-BF06-FDF386F66078}" name="is_coupon_applied"/>
    <tableColumn id="3" xr3:uid="{4CDEBC23-0C91-4161-9542-562E8D98F0AE}" name="coupon_applied"/>
    <tableColumn id="4" xr3:uid="{518895D0-A220-415A-AE4B-B3A412E8071A}" name="offers_data"/>
    <tableColumn id="5" xr3:uid="{75C807C4-A4F4-4948-BE75-6A2FB0BADA2F}" name="order_time"/>
    <tableColumn id="6" xr3:uid="{EC2F4829-ABC9-477D-A899-156CDC89C111}" name="confirmed_time"/>
    <tableColumn id="7" xr3:uid="{78EAA6C8-3A44-4BB4-91D2-1C09C319C58F}" name="customer_id"/>
    <tableColumn id="8" xr3:uid="{B441609B-68B5-4321-BACE-C652E23E263F}" name="order_status"/>
    <tableColumn id="9" xr3:uid="{37C7874E-8F1E-4F89-A00A-4D42C4267C1B}" name="delivery_boy.name"/>
    <tableColumn id="10" xr3:uid="{A8A7C4E1-1A26-4048-84CA-61B6AB67872D}" name="restaurant_id"/>
    <tableColumn id="11" xr3:uid="{196C1B90-A4E7-43AD-BE27-3EDE087250BB}" name="restaurant_name"/>
    <tableColumn id="12" xr3:uid="{96450451-AE13-4A12-84D3-FB4A79926418}" name="restaurant_address"/>
    <tableColumn id="13" xr3:uid="{67C34D82-A4D8-41FE-8724-010A260B8379}" name="restaurant_locality"/>
    <tableColumn id="14" xr3:uid="{19C0A644-5D82-485A-9184-17C59B6D7A45}" name="restaurant_city_name"/>
    <tableColumn id="15" xr3:uid="{A969D842-92D0-49E4-8C2F-38666F58C38F}" name="delivery_time_in_seconds"/>
    <tableColumn id="16" xr3:uid="{D1F09618-FF89-41A6-BA52-A2363FEAB0AA}" name="order_total"/>
    <tableColumn id="17" xr3:uid="{E4320DCA-91DB-49D7-AA84-BC2407547B59}" name="order_total_with_tip"/>
    <tableColumn id="18" xr3:uid="{1F658334-160E-40F1-9F5E-0A4515AB1B62}" name="net_total"/>
    <tableColumn id="19" xr3:uid="{C1BCFFD4-439A-4C3F-8C50-D7BBC0313070}" name="item_total"/>
    <tableColumn id="20" xr3:uid="{37418878-24B2-4A60-AB9E-A497C2592482}" name="free_delivery_discount_hit"/>
    <tableColumn id="21" xr3:uid="{EE0F894B-67EA-4D1E-A76F-778908A06792}" name="restaurant_order_rating"/>
    <tableColumn id="22" xr3:uid="{86E3C2AF-8FA9-4075-8D66-6E226CD2A4FB}" name="restaurant_lat_lng"/>
    <tableColumn id="23" xr3:uid="{FD80A213-DA3B-487B-83AC-582CA5A6FFCA}" name="restaurant_customer_distance"/>
    <tableColumn id="24" xr3:uid="{BB7E4A18-7C64-42E0-8577-C7F51B62AFDE}" name="coupon_code"/>
    <tableColumn id="25" xr3:uid="{0302BC4D-E8B7-4098-A09B-C583EF09CA1D}" name="order_payment_method"/>
    <tableColumn id="26" xr3:uid="{41039041-AD86-4306-945A-5249EA4A5EB9}" name="restaurant_area_name"/>
    <tableColumn id="27" xr3:uid="{D9377B3E-2DA0-4E8C-B69F-B8FBA997679A}" name="on_time"/>
    <tableColumn id="28" xr3:uid="{5BBD6AE5-3168-4254-8473-F2EA9164568D}" name="rain_mode"/>
    <tableColumn id="29" xr3:uid="{512C472B-F926-4021-930B-2606BAF37830}" name="Coupon_Code_Updated">
      <calculatedColumnFormula>IF(X2="","No Coupon Applied",X2)</calculatedColumnFormula>
    </tableColumn>
    <tableColumn id="30" xr3:uid="{EEAF5886-8945-42F6-A692-AE8D16771989}" name="restaurant_name_updated">
      <calculatedColumnFormula>VLOOKUP(K2,'restaurant name correction'!$A$1:$B$44,2,0)</calculatedColumnFormula>
    </tableColumn>
    <tableColumn id="31" xr3:uid="{E9325261-8351-4CC3-A4CF-33C3F5DF82F1}" name="restaurant_area_name_updated">
      <calculatedColumnFormula>VLOOKUP(Z2,restaurant_area_correction!$A$1:$B$18,2,0)</calculatedColumnFormula>
    </tableColumn>
    <tableColumn id="32" xr3:uid="{72AA9A6D-5D77-424A-BDD7-D406C9C33A37}" name="Discount">
      <calculatedColumnFormula>VALUE(IFERROR(MID(D2,FIND(":",D2,FIND("total_offer_discount",D2))+1,FIND(",",D2,FIND("total_offer_discount",D2)) - FIND(":",D2,FIND("total_offer_discount",D2))-1),0))</calculatedColumnFormula>
    </tableColumn>
    <tableColumn id="33" xr3:uid="{E874038D-75C9-4775-8DEF-456E6A761377}" name="Order_Date" dataDxfId="4">
      <calculatedColumnFormula>DATEVALUE(E2)</calculatedColumnFormula>
    </tableColumn>
    <tableColumn id="34" xr3:uid="{951D11B1-BB67-4B43-8AD2-D847660E17AC}" name="Time" dataDxfId="3">
      <calculatedColumnFormula>TIMEVALUE(E2)</calculatedColumnFormula>
    </tableColumn>
    <tableColumn id="35" xr3:uid="{7E165922-E679-4872-BBA2-D6933AAC69F8}" name="Weekday">
      <calculatedColumnFormula>TEXT(AG2,"dddd")</calculatedColumnFormula>
    </tableColumn>
    <tableColumn id="37" xr3:uid="{668E3F54-F4B0-4D6D-AAB8-290F06F84582}" name="Day_Seg" dataDxfId="1">
      <calculatedColumnFormula>VLOOKUP(HOUR(Orders[[#This Row],[Time]]),$AQ$1:$AR$7,2,1)</calculatedColumnFormula>
    </tableColumn>
    <tableColumn id="38" xr3:uid="{EF835EE2-2187-49C1-BD53-B2ED50A80986}" name="Rain_mode_updated" dataDxfId="0">
      <calculatedColumnFormula>IF(Orders[[#This Row],[rain_mode]]=0,"Sunny","Rainy")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E9F789-2A48-4364-B3F7-F99A590F1DDA}" name="Order_items" displayName="Order_items" ref="A1:E171" totalsRowShown="0" headerRowDxfId="12" dataDxfId="11" tableBorderDxfId="10">
  <autoFilter ref="A1:E171" xr:uid="{8BE9F789-2A48-4364-B3F7-F99A590F1DDA}"/>
  <tableColumns count="5">
    <tableColumn id="1" xr3:uid="{690A3B9B-8299-4436-A915-E6361602DA44}" name="order_id" dataDxfId="9"/>
    <tableColumn id="2" xr3:uid="{DD9D1B9C-FE81-42F7-83B7-EB342B975BB4}" name="order_items.name" dataDxfId="8"/>
    <tableColumn id="3" xr3:uid="{CB85DADD-C056-4806-9AFF-DF646C0DBC8B}" name="order_items.is_veg" dataDxfId="7"/>
    <tableColumn id="4" xr3:uid="{9901865A-6C33-4C4E-8FEF-659F49854199}" name="order_items.quantity" dataDxfId="6"/>
    <tableColumn id="5" xr3:uid="{5F81B1FB-05C1-461C-8A92-30D623AFB5C6}" name="Category" dataDxfId="5">
      <calculatedColumnFormula>IF(C2=0,"Non_Veg","Veg")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D89F382-4FF4-4FD2-B009-32BB048B052E}" sourceName="Order_Date">
  <pivotTables>
    <pivotTable tabId="5" name="PivotTable10"/>
    <pivotTable tabId="5" name="MOM Trend Analysis"/>
    <pivotTable tabId="5" name="PivotTable1"/>
    <pivotTable tabId="5" name="PivotTable13"/>
    <pivotTable tabId="5" name="PivotTable14"/>
    <pivotTable tabId="5" name="PivotTable2"/>
    <pivotTable tabId="5" name="PivotTable3"/>
    <pivotTable tabId="5" name="PivotTable4"/>
    <pivotTable tabId="5" name="PivotTable6"/>
    <pivotTable tabId="5" name="PivotTable7"/>
    <pivotTable tabId="5" name="PivotTable8"/>
    <pivotTable tabId="5" name="PivotTable9"/>
  </pivotTables>
  <state minimalRefreshVersion="6" lastRefreshVersion="6" pivotCacheId="1218389142" filterType="dateBetween">
    <selection startDate="2024-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729B919-0D22-4EE0-ADA7-9360CEC5208A}" cache="NativeTimeline_Order_Date" caption="Order_Date" level="2" selectionLevel="0" scrollPosition="2024-03-2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D654163-EA91-4F32-9F79-60BA39BB4E65}" cache="Nativ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3DC5-B1CA-4BC0-BC2E-EEB192293379}">
  <dimension ref="A1:AR108"/>
  <sheetViews>
    <sheetView topLeftCell="AD1" workbookViewId="0">
      <selection activeCell="AK3" sqref="AK3"/>
    </sheetView>
  </sheetViews>
  <sheetFormatPr defaultRowHeight="14.5" x14ac:dyDescent="0.35"/>
  <cols>
    <col min="1" max="1" width="10.453125" customWidth="1"/>
    <col min="2" max="2" width="24.08984375" customWidth="1"/>
    <col min="3" max="3" width="16.26953125" customWidth="1"/>
    <col min="4" max="4" width="37.90625" customWidth="1"/>
    <col min="5" max="5" width="22.6328125" customWidth="1"/>
    <col min="6" max="6" width="20.08984375" customWidth="1"/>
    <col min="7" max="7" width="13.26953125" customWidth="1"/>
    <col min="8" max="8" width="15" customWidth="1"/>
    <col min="9" max="9" width="18.7265625" customWidth="1"/>
    <col min="10" max="10" width="16.08984375" customWidth="1"/>
    <col min="11" max="11" width="44.26953125" customWidth="1"/>
    <col min="12" max="12" width="26.7265625" customWidth="1"/>
    <col min="13" max="13" width="21.6328125" customWidth="1"/>
    <col min="14" max="14" width="21.36328125" customWidth="1"/>
    <col min="15" max="15" width="24.453125" customWidth="1"/>
    <col min="16" max="16" width="15.81640625" customWidth="1"/>
    <col min="17" max="17" width="20.453125" customWidth="1"/>
    <col min="18" max="18" width="16.453125" customWidth="1"/>
    <col min="19" max="19" width="13.90625" customWidth="1"/>
    <col min="20" max="20" width="25.1796875" customWidth="1"/>
    <col min="21" max="21" width="25.26953125" customWidth="1"/>
    <col min="22" max="22" width="27.08984375" customWidth="1"/>
    <col min="23" max="23" width="28.6328125" customWidth="1"/>
    <col min="24" max="24" width="18.81640625" customWidth="1"/>
    <col min="25" max="25" width="23.7265625" customWidth="1"/>
    <col min="26" max="26" width="22.1796875" customWidth="1"/>
    <col min="27" max="27" width="9.81640625" customWidth="1"/>
    <col min="28" max="28" width="15.7265625" customWidth="1"/>
    <col min="29" max="29" width="23.453125" customWidth="1"/>
    <col min="30" max="30" width="25.54296875" customWidth="1"/>
    <col min="31" max="31" width="30.26953125" customWidth="1"/>
    <col min="32" max="32" width="29.90625" customWidth="1"/>
    <col min="33" max="33" width="13.7265625" customWidth="1"/>
    <col min="34" max="34" width="11.26953125" bestFit="1" customWidth="1"/>
    <col min="35" max="35" width="14.453125" customWidth="1"/>
    <col min="36" max="36" width="13.453125" customWidth="1"/>
    <col min="37" max="37" width="22.7265625" customWidth="1"/>
    <col min="44" max="44" width="14.7265625" customWidth="1"/>
  </cols>
  <sheetData>
    <row r="1" spans="1:44" x14ac:dyDescent="0.35">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5" t="s">
        <v>794</v>
      </c>
      <c r="AD1" s="15" t="s">
        <v>795</v>
      </c>
      <c r="AE1" s="15" t="s">
        <v>796</v>
      </c>
      <c r="AF1" s="15" t="s">
        <v>800</v>
      </c>
      <c r="AG1" s="15" t="s">
        <v>802</v>
      </c>
      <c r="AH1" s="15" t="s">
        <v>801</v>
      </c>
      <c r="AI1" s="15" t="s">
        <v>803</v>
      </c>
      <c r="AJ1" s="15" t="s">
        <v>852</v>
      </c>
      <c r="AK1" s="15" t="s">
        <v>861</v>
      </c>
      <c r="AQ1" s="23" t="s">
        <v>859</v>
      </c>
      <c r="AR1" s="23" t="s">
        <v>860</v>
      </c>
    </row>
    <row r="2" spans="1:44" x14ac:dyDescent="0.35">
      <c r="A2">
        <v>175244332362622</v>
      </c>
      <c r="B2" t="b">
        <v>1</v>
      </c>
      <c r="C2" t="s">
        <v>28</v>
      </c>
      <c r="D2" t="s">
        <v>29</v>
      </c>
      <c r="E2" t="s">
        <v>30</v>
      </c>
      <c r="F2" t="s">
        <v>31</v>
      </c>
      <c r="G2" t="s">
        <v>32</v>
      </c>
      <c r="H2" t="s">
        <v>33</v>
      </c>
      <c r="I2" t="s">
        <v>34</v>
      </c>
      <c r="J2" t="s">
        <v>35</v>
      </c>
      <c r="K2" t="s">
        <v>36</v>
      </c>
      <c r="L2" t="s">
        <v>37</v>
      </c>
      <c r="M2" t="s">
        <v>38</v>
      </c>
      <c r="N2" t="s">
        <v>39</v>
      </c>
      <c r="O2">
        <v>1587</v>
      </c>
      <c r="P2">
        <v>146</v>
      </c>
      <c r="Q2">
        <v>146</v>
      </c>
      <c r="R2">
        <v>146</v>
      </c>
      <c r="S2">
        <v>225</v>
      </c>
      <c r="T2">
        <v>43</v>
      </c>
      <c r="U2">
        <v>0</v>
      </c>
      <c r="V2" t="s">
        <v>40</v>
      </c>
      <c r="W2">
        <v>2.2000000000000002</v>
      </c>
      <c r="X2" t="s">
        <v>28</v>
      </c>
      <c r="Y2" t="s">
        <v>41</v>
      </c>
      <c r="Z2" t="s">
        <v>38</v>
      </c>
      <c r="AA2" t="b">
        <v>0</v>
      </c>
      <c r="AB2">
        <v>0</v>
      </c>
      <c r="AC2" t="str">
        <f>IF(X2="","No Coupon Applied",X2)</f>
        <v>SWIGGYIT</v>
      </c>
      <c r="AD2" t="str">
        <f>VLOOKUP(K2,'restaurant name correction'!$A$1:$B$44,2,0)</f>
        <v xml:space="preserve">Paris Panini </v>
      </c>
      <c r="AE2" t="str">
        <f>VLOOKUP(Z2,restaurant_area_correction!$A$1:$B$18,2,0)</f>
        <v>JP Nagar</v>
      </c>
      <c r="AF2">
        <f>VALUE(IFERROR(MID(D2,FIND(":",D2,FIND("total_offer_discount",D2))+1,FIND(",",D2,FIND("total_offer_discount",D2)) - FIND(":",D2,FIND("total_offer_discount",D2))-1),0))</f>
        <v>120</v>
      </c>
      <c r="AG2" s="11">
        <f>DATEVALUE(E2)</f>
        <v>45433</v>
      </c>
      <c r="AH2" s="12">
        <f>TIMEVALUE(E2)</f>
        <v>0.52004629629664123</v>
      </c>
      <c r="AI2" t="str">
        <f>TEXT(AG2,"dddd")</f>
        <v>Tuesday</v>
      </c>
      <c r="AJ2" t="str">
        <f>VLOOKUP(HOUR(Orders[[#This Row],[Time]]),$AQ$1:$AR$7,2,1)</f>
        <v>Afternoon</v>
      </c>
      <c r="AK2" t="str">
        <f>IF(Orders[[#This Row],[rain_mode]]=0,"Sunny","Rainy")</f>
        <v>Sunny</v>
      </c>
      <c r="AQ2" s="23">
        <v>0</v>
      </c>
      <c r="AR2" s="23" t="s">
        <v>853</v>
      </c>
    </row>
    <row r="3" spans="1:44" x14ac:dyDescent="0.35">
      <c r="A3">
        <v>175167017704058</v>
      </c>
      <c r="B3" t="b">
        <v>0</v>
      </c>
      <c r="C3" t="s">
        <v>42</v>
      </c>
      <c r="D3" t="s">
        <v>42</v>
      </c>
      <c r="E3" t="s">
        <v>43</v>
      </c>
      <c r="F3" t="s">
        <v>44</v>
      </c>
      <c r="G3" t="s">
        <v>32</v>
      </c>
      <c r="H3" t="s">
        <v>33</v>
      </c>
      <c r="I3" t="s">
        <v>45</v>
      </c>
      <c r="J3" t="s">
        <v>46</v>
      </c>
      <c r="K3" t="s">
        <v>47</v>
      </c>
      <c r="L3" t="s">
        <v>48</v>
      </c>
      <c r="M3" t="s">
        <v>38</v>
      </c>
      <c r="N3" t="s">
        <v>39</v>
      </c>
      <c r="O3">
        <v>1853</v>
      </c>
      <c r="P3">
        <v>555</v>
      </c>
      <c r="Q3">
        <v>555</v>
      </c>
      <c r="R3">
        <v>555</v>
      </c>
      <c r="S3">
        <v>480</v>
      </c>
      <c r="T3">
        <v>41</v>
      </c>
      <c r="U3">
        <v>0</v>
      </c>
      <c r="V3" t="s">
        <v>49</v>
      </c>
      <c r="W3">
        <v>2.2000000000000002</v>
      </c>
      <c r="X3" t="s">
        <v>42</v>
      </c>
      <c r="Y3" t="s">
        <v>41</v>
      </c>
      <c r="Z3" t="s">
        <v>38</v>
      </c>
      <c r="AA3" t="b">
        <v>0</v>
      </c>
      <c r="AB3">
        <v>0</v>
      </c>
      <c r="AC3" t="str">
        <f t="shared" ref="AC3:AC66" si="0">IF(X3="","No Coupon Applied",X3)</f>
        <v>No Coupon Applied</v>
      </c>
      <c r="AD3" t="str">
        <f>VLOOKUP(K3,'restaurant name correction'!$A$1:$B$44,2,0)</f>
        <v>Nandhana Palace</v>
      </c>
      <c r="AE3" t="str">
        <f>VLOOKUP(Z3,restaurant_area_correction!$A$1:$B$18,2,0)</f>
        <v>JP Nagar</v>
      </c>
      <c r="AF3">
        <f t="shared" ref="AF3:AF66" si="1">VALUE(IFERROR(MID(D3,FIND(":",D3,FIND("total_offer_discount",D3))+1,FIND(",",D3,FIND("total_offer_discount",D3)) - FIND(":",D3,FIND("total_offer_discount",D3))-1),0))</f>
        <v>0</v>
      </c>
      <c r="AG3" s="11">
        <f t="shared" ref="AG3:AG66" si="2">DATEVALUE(E3)</f>
        <v>45432</v>
      </c>
      <c r="AH3" s="12">
        <f t="shared" ref="AH3:AH66" si="3">TIMEVALUE(E3)</f>
        <v>0.62519675926159834</v>
      </c>
      <c r="AI3" t="str">
        <f t="shared" ref="AI3:AI66" si="4">TEXT(AG3,"dddd")</f>
        <v>Monday</v>
      </c>
      <c r="AJ3" t="str">
        <f>VLOOKUP(HOUR(Orders[[#This Row],[Time]]),$AQ$1:$AR$7,2,1)</f>
        <v>Afternoon</v>
      </c>
      <c r="AK3" t="str">
        <f>IF(Orders[[#This Row],[rain_mode]]=0,"Sunny","Rainy")</f>
        <v>Sunny</v>
      </c>
      <c r="AQ3" s="23">
        <v>4</v>
      </c>
      <c r="AR3" s="23" t="s">
        <v>854</v>
      </c>
    </row>
    <row r="4" spans="1:44" x14ac:dyDescent="0.35">
      <c r="A4">
        <v>175017114796029</v>
      </c>
      <c r="B4" t="b">
        <v>1</v>
      </c>
      <c r="C4" t="s">
        <v>50</v>
      </c>
      <c r="D4" t="s">
        <v>51</v>
      </c>
      <c r="E4" t="s">
        <v>52</v>
      </c>
      <c r="F4" t="s">
        <v>53</v>
      </c>
      <c r="G4" t="s">
        <v>32</v>
      </c>
      <c r="H4" t="s">
        <v>33</v>
      </c>
      <c r="I4" t="s">
        <v>54</v>
      </c>
      <c r="J4" t="s">
        <v>55</v>
      </c>
      <c r="K4" t="s">
        <v>56</v>
      </c>
      <c r="L4" t="s">
        <v>57</v>
      </c>
      <c r="M4" t="s">
        <v>58</v>
      </c>
      <c r="N4" t="s">
        <v>39</v>
      </c>
      <c r="O4">
        <v>1559</v>
      </c>
      <c r="P4">
        <v>382</v>
      </c>
      <c r="Q4">
        <v>382</v>
      </c>
      <c r="R4">
        <v>382</v>
      </c>
      <c r="S4">
        <v>400</v>
      </c>
      <c r="T4">
        <v>69</v>
      </c>
      <c r="U4">
        <v>0</v>
      </c>
      <c r="V4" t="s">
        <v>59</v>
      </c>
      <c r="W4">
        <v>3.6</v>
      </c>
      <c r="X4" t="s">
        <v>50</v>
      </c>
      <c r="Y4" t="s">
        <v>41</v>
      </c>
      <c r="Z4" t="s">
        <v>60</v>
      </c>
      <c r="AA4" t="b">
        <v>1</v>
      </c>
      <c r="AB4">
        <v>0</v>
      </c>
      <c r="AC4" t="str">
        <f t="shared" si="0"/>
        <v>MISSEDYOU</v>
      </c>
      <c r="AD4" t="str">
        <f>VLOOKUP(K4,'restaurant name correction'!$A$1:$B$44,2,0)</f>
        <v xml:space="preserve">The Ganache Factory </v>
      </c>
      <c r="AE4" t="str">
        <f>VLOOKUP(Z4,restaurant_area_correction!$A$1:$B$18,2,0)</f>
        <v>Jayanagar</v>
      </c>
      <c r="AF4">
        <f t="shared" si="1"/>
        <v>80</v>
      </c>
      <c r="AG4" s="11">
        <f t="shared" si="2"/>
        <v>45430</v>
      </c>
      <c r="AH4" s="12">
        <f t="shared" si="3"/>
        <v>0.89020833333051996</v>
      </c>
      <c r="AI4" t="str">
        <f t="shared" si="4"/>
        <v>Saturday</v>
      </c>
      <c r="AJ4" t="str">
        <f>VLOOKUP(HOUR(Orders[[#This Row],[Time]]),$AQ$1:$AR$7,2,1)</f>
        <v>Night</v>
      </c>
      <c r="AK4" t="str">
        <f>IF(Orders[[#This Row],[rain_mode]]=0,"Sunny","Rainy")</f>
        <v>Sunny</v>
      </c>
      <c r="AQ4" s="23">
        <v>8</v>
      </c>
      <c r="AR4" s="23" t="s">
        <v>855</v>
      </c>
    </row>
    <row r="5" spans="1:44" x14ac:dyDescent="0.35">
      <c r="A5">
        <v>174973046023416</v>
      </c>
      <c r="B5" t="b">
        <v>1</v>
      </c>
      <c r="C5" t="s">
        <v>28</v>
      </c>
      <c r="D5" t="s">
        <v>61</v>
      </c>
      <c r="E5" t="s">
        <v>62</v>
      </c>
      <c r="F5" t="s">
        <v>63</v>
      </c>
      <c r="G5" t="s">
        <v>32</v>
      </c>
      <c r="H5" t="s">
        <v>33</v>
      </c>
      <c r="I5" t="s">
        <v>64</v>
      </c>
      <c r="J5" t="s">
        <v>65</v>
      </c>
      <c r="K5" t="s">
        <v>66</v>
      </c>
      <c r="L5" t="s">
        <v>67</v>
      </c>
      <c r="M5" t="s">
        <v>68</v>
      </c>
      <c r="N5" t="s">
        <v>39</v>
      </c>
      <c r="O5">
        <v>3760</v>
      </c>
      <c r="P5">
        <v>421</v>
      </c>
      <c r="Q5">
        <v>421</v>
      </c>
      <c r="R5">
        <v>421</v>
      </c>
      <c r="S5">
        <v>415</v>
      </c>
      <c r="T5">
        <v>46</v>
      </c>
      <c r="U5">
        <v>0</v>
      </c>
      <c r="V5" t="s">
        <v>69</v>
      </c>
      <c r="W5">
        <v>2.5</v>
      </c>
      <c r="X5" t="s">
        <v>28</v>
      </c>
      <c r="Y5" t="s">
        <v>41</v>
      </c>
      <c r="Z5" t="s">
        <v>70</v>
      </c>
      <c r="AA5" t="b">
        <v>0</v>
      </c>
      <c r="AB5">
        <v>0</v>
      </c>
      <c r="AC5" t="str">
        <f t="shared" si="0"/>
        <v>SWIGGYIT</v>
      </c>
      <c r="AD5" t="str">
        <f>VLOOKUP(K5,'restaurant name correction'!$A$1:$B$44,2,0)</f>
        <v>Rasayan</v>
      </c>
      <c r="AE5" t="str">
        <f>VLOOKUP(Z5,restaurant_area_correction!$A$1:$B$18,2,0)</f>
        <v>BTM</v>
      </c>
      <c r="AF5">
        <f t="shared" si="1"/>
        <v>39.99</v>
      </c>
      <c r="AG5" s="11">
        <f t="shared" si="2"/>
        <v>45430</v>
      </c>
      <c r="AH5" s="12">
        <f t="shared" si="3"/>
        <v>0.380162037035916</v>
      </c>
      <c r="AI5" t="str">
        <f t="shared" si="4"/>
        <v>Saturday</v>
      </c>
      <c r="AJ5" t="str">
        <f>VLOOKUP(HOUR(Orders[[#This Row],[Time]]),$AQ$1:$AR$7,2,1)</f>
        <v>Late Morning</v>
      </c>
      <c r="AK5" t="str">
        <f>IF(Orders[[#This Row],[rain_mode]]=0,"Sunny","Rainy")</f>
        <v>Sunny</v>
      </c>
      <c r="AQ5" s="23">
        <v>12</v>
      </c>
      <c r="AR5" s="23" t="s">
        <v>856</v>
      </c>
    </row>
    <row r="6" spans="1:44" x14ac:dyDescent="0.35">
      <c r="A6">
        <v>174906705849277</v>
      </c>
      <c r="B6" t="b">
        <v>1</v>
      </c>
      <c r="C6" t="s">
        <v>71</v>
      </c>
      <c r="D6" t="s">
        <v>72</v>
      </c>
      <c r="E6" t="s">
        <v>73</v>
      </c>
      <c r="F6" t="s">
        <v>74</v>
      </c>
      <c r="G6" t="s">
        <v>32</v>
      </c>
      <c r="H6" t="s">
        <v>33</v>
      </c>
      <c r="I6" t="s">
        <v>75</v>
      </c>
      <c r="J6" t="s">
        <v>76</v>
      </c>
      <c r="K6" t="s">
        <v>77</v>
      </c>
      <c r="L6" t="s">
        <v>78</v>
      </c>
      <c r="M6" t="s">
        <v>79</v>
      </c>
      <c r="N6" t="s">
        <v>39</v>
      </c>
      <c r="O6">
        <v>2257</v>
      </c>
      <c r="P6">
        <v>556</v>
      </c>
      <c r="Q6">
        <v>556</v>
      </c>
      <c r="R6">
        <v>556</v>
      </c>
      <c r="S6">
        <v>624</v>
      </c>
      <c r="T6">
        <v>35</v>
      </c>
      <c r="U6">
        <v>0</v>
      </c>
      <c r="V6" t="s">
        <v>80</v>
      </c>
      <c r="W6">
        <v>2.2000000000000002</v>
      </c>
      <c r="X6" t="s">
        <v>71</v>
      </c>
      <c r="Y6" t="s">
        <v>41</v>
      </c>
      <c r="Z6" t="s">
        <v>81</v>
      </c>
      <c r="AA6" t="b">
        <v>0</v>
      </c>
      <c r="AB6">
        <v>0</v>
      </c>
      <c r="AC6" t="str">
        <f t="shared" si="0"/>
        <v>DEALICIOUS</v>
      </c>
      <c r="AD6" t="str">
        <f>VLOOKUP(K6,'restaurant name correction'!$A$1:$B$44,2,0)</f>
        <v>Firangi Bake</v>
      </c>
      <c r="AE6" t="str">
        <f>VLOOKUP(Z6,restaurant_area_correction!$A$1:$B$18,2,0)</f>
        <v>BTM</v>
      </c>
      <c r="AF6">
        <f>VALUE(IFERROR(MID(D6,FIND(":",D6,FIND("total_offer_discount",D6))+1,FIND(",",D6,FIND("total_offer_discount",D6)) - FIND(":",D6,FIND("total_offer_discount",D6))-1),0))</f>
        <v>124.99</v>
      </c>
      <c r="AG6" s="11">
        <f t="shared" si="2"/>
        <v>45429</v>
      </c>
      <c r="AH6" s="12">
        <f t="shared" si="3"/>
        <v>0.61232638888759539</v>
      </c>
      <c r="AI6" t="str">
        <f t="shared" si="4"/>
        <v>Friday</v>
      </c>
      <c r="AJ6" t="str">
        <f>VLOOKUP(HOUR(Orders[[#This Row],[Time]]),$AQ$1:$AR$7,2,1)</f>
        <v>Afternoon</v>
      </c>
      <c r="AK6" t="str">
        <f>IF(Orders[[#This Row],[rain_mode]]=0,"Sunny","Rainy")</f>
        <v>Sunny</v>
      </c>
      <c r="AQ6" s="23">
        <v>16</v>
      </c>
      <c r="AR6" s="23" t="s">
        <v>857</v>
      </c>
    </row>
    <row r="7" spans="1:44" x14ac:dyDescent="0.35">
      <c r="A7">
        <v>174329455765789</v>
      </c>
      <c r="B7" t="b">
        <v>1</v>
      </c>
      <c r="C7" t="s">
        <v>82</v>
      </c>
      <c r="D7" t="s">
        <v>83</v>
      </c>
      <c r="E7" t="s">
        <v>84</v>
      </c>
      <c r="F7" t="s">
        <v>85</v>
      </c>
      <c r="G7" t="s">
        <v>32</v>
      </c>
      <c r="H7" t="s">
        <v>33</v>
      </c>
      <c r="I7" t="s">
        <v>86</v>
      </c>
      <c r="J7" t="s">
        <v>87</v>
      </c>
      <c r="K7" t="s">
        <v>88</v>
      </c>
      <c r="L7" t="s">
        <v>89</v>
      </c>
      <c r="M7" t="s">
        <v>90</v>
      </c>
      <c r="N7" t="s">
        <v>39</v>
      </c>
      <c r="O7">
        <v>3262</v>
      </c>
      <c r="P7">
        <v>1062</v>
      </c>
      <c r="Q7">
        <v>1062</v>
      </c>
      <c r="R7">
        <v>1062</v>
      </c>
      <c r="S7">
        <v>1050</v>
      </c>
      <c r="T7">
        <v>45</v>
      </c>
      <c r="U7">
        <v>0</v>
      </c>
      <c r="V7" t="s">
        <v>91</v>
      </c>
      <c r="W7">
        <v>3.2</v>
      </c>
      <c r="X7" t="s">
        <v>82</v>
      </c>
      <c r="Y7" t="s">
        <v>92</v>
      </c>
      <c r="Z7" t="s">
        <v>60</v>
      </c>
      <c r="AA7" t="b">
        <v>0</v>
      </c>
      <c r="AB7">
        <v>0</v>
      </c>
      <c r="AC7" t="str">
        <f t="shared" si="0"/>
        <v>MDM150</v>
      </c>
      <c r="AD7" t="str">
        <f>VLOOKUP(K7,'restaurant name correction'!$A$1:$B$44,2,0)</f>
        <v>Daily Sushi</v>
      </c>
      <c r="AE7" t="str">
        <f>VLOOKUP(Z7,restaurant_area_correction!$A$1:$B$18,2,0)</f>
        <v>Jayanagar</v>
      </c>
      <c r="AF7">
        <f t="shared" si="1"/>
        <v>149.99</v>
      </c>
      <c r="AG7" s="11">
        <f t="shared" si="2"/>
        <v>45422</v>
      </c>
      <c r="AH7" s="12">
        <f t="shared" si="3"/>
        <v>0.93119212963210884</v>
      </c>
      <c r="AI7" t="str">
        <f t="shared" si="4"/>
        <v>Friday</v>
      </c>
      <c r="AJ7" t="str">
        <f>VLOOKUP(HOUR(Orders[[#This Row],[Time]]),$AQ$1:$AR$7,2,1)</f>
        <v>Night</v>
      </c>
      <c r="AK7" t="str">
        <f>IF(Orders[[#This Row],[rain_mode]]=0,"Sunny","Rainy")</f>
        <v>Sunny</v>
      </c>
      <c r="AQ7" s="23">
        <v>20</v>
      </c>
      <c r="AR7" s="23" t="s">
        <v>858</v>
      </c>
    </row>
    <row r="8" spans="1:44" x14ac:dyDescent="0.35">
      <c r="A8">
        <v>174318296922309</v>
      </c>
      <c r="B8" t="b">
        <v>1</v>
      </c>
      <c r="C8" t="s">
        <v>28</v>
      </c>
      <c r="D8" t="s">
        <v>29</v>
      </c>
      <c r="E8" t="s">
        <v>93</v>
      </c>
      <c r="F8" t="s">
        <v>94</v>
      </c>
      <c r="G8" t="s">
        <v>32</v>
      </c>
      <c r="H8" t="s">
        <v>33</v>
      </c>
      <c r="I8" t="s">
        <v>95</v>
      </c>
      <c r="J8" t="s">
        <v>35</v>
      </c>
      <c r="K8" t="s">
        <v>36</v>
      </c>
      <c r="L8" t="s">
        <v>37</v>
      </c>
      <c r="M8" t="s">
        <v>38</v>
      </c>
      <c r="N8" t="s">
        <v>39</v>
      </c>
      <c r="O8">
        <v>2401</v>
      </c>
      <c r="P8">
        <v>440</v>
      </c>
      <c r="Q8">
        <v>440</v>
      </c>
      <c r="R8">
        <v>440</v>
      </c>
      <c r="S8">
        <v>480</v>
      </c>
      <c r="T8">
        <v>45</v>
      </c>
      <c r="U8">
        <v>0</v>
      </c>
      <c r="V8" t="s">
        <v>40</v>
      </c>
      <c r="W8">
        <v>2.1</v>
      </c>
      <c r="X8" t="s">
        <v>28</v>
      </c>
      <c r="Y8" t="s">
        <v>92</v>
      </c>
      <c r="Z8" t="s">
        <v>38</v>
      </c>
      <c r="AA8" t="b">
        <v>0</v>
      </c>
      <c r="AB8">
        <v>0</v>
      </c>
      <c r="AC8" t="str">
        <f t="shared" si="0"/>
        <v>SWIGGYIT</v>
      </c>
      <c r="AD8" t="str">
        <f>VLOOKUP(K8,'restaurant name correction'!$A$1:$B$44,2,0)</f>
        <v xml:space="preserve">Paris Panini </v>
      </c>
      <c r="AE8" t="str">
        <f>VLOOKUP(Z8,restaurant_area_correction!$A$1:$B$18,2,0)</f>
        <v>JP Nagar</v>
      </c>
      <c r="AF8">
        <f t="shared" si="1"/>
        <v>120</v>
      </c>
      <c r="AG8" s="11">
        <f t="shared" si="2"/>
        <v>45422</v>
      </c>
      <c r="AH8" s="12">
        <f t="shared" si="3"/>
        <v>0.802037037035916</v>
      </c>
      <c r="AI8" t="str">
        <f t="shared" si="4"/>
        <v>Friday</v>
      </c>
      <c r="AJ8" t="str">
        <f>VLOOKUP(HOUR(Orders[[#This Row],[Time]]),$AQ$1:$AR$7,2,1)</f>
        <v>Evening</v>
      </c>
      <c r="AK8" t="str">
        <f>IF(Orders[[#This Row],[rain_mode]]=0,"Sunny","Rainy")</f>
        <v>Sunny</v>
      </c>
    </row>
    <row r="9" spans="1:44" x14ac:dyDescent="0.35">
      <c r="A9">
        <v>174118005152904</v>
      </c>
      <c r="B9" t="b">
        <v>1</v>
      </c>
      <c r="C9" t="s">
        <v>28</v>
      </c>
      <c r="D9" t="s">
        <v>96</v>
      </c>
      <c r="E9" t="s">
        <v>97</v>
      </c>
      <c r="F9" t="s">
        <v>98</v>
      </c>
      <c r="G9" t="s">
        <v>32</v>
      </c>
      <c r="H9" t="s">
        <v>33</v>
      </c>
      <c r="I9" t="s">
        <v>99</v>
      </c>
      <c r="J9" t="s">
        <v>100</v>
      </c>
      <c r="K9" t="s">
        <v>101</v>
      </c>
      <c r="L9" t="s">
        <v>102</v>
      </c>
      <c r="M9" t="s">
        <v>103</v>
      </c>
      <c r="N9" t="s">
        <v>39</v>
      </c>
      <c r="O9">
        <v>2824</v>
      </c>
      <c r="P9">
        <v>352</v>
      </c>
      <c r="Q9">
        <v>352</v>
      </c>
      <c r="R9">
        <v>352</v>
      </c>
      <c r="S9">
        <v>350</v>
      </c>
      <c r="T9">
        <v>36</v>
      </c>
      <c r="U9">
        <v>0</v>
      </c>
      <c r="V9" t="s">
        <v>104</v>
      </c>
      <c r="W9">
        <v>3.2</v>
      </c>
      <c r="X9" t="s">
        <v>28</v>
      </c>
      <c r="Y9" t="s">
        <v>41</v>
      </c>
      <c r="Z9" t="s">
        <v>105</v>
      </c>
      <c r="AA9" t="b">
        <v>1</v>
      </c>
      <c r="AB9">
        <v>0</v>
      </c>
      <c r="AC9" t="str">
        <f t="shared" si="0"/>
        <v>SWIGGYIT</v>
      </c>
      <c r="AD9" t="str">
        <f>VLOOKUP(K9,'restaurant name correction'!$A$1:$B$44,2,0)</f>
        <v>Naalnaad Mane</v>
      </c>
      <c r="AE9" t="str">
        <f>VLOOKUP(Z9,restaurant_area_correction!$A$1:$B$18,2,0)</f>
        <v>Arekere</v>
      </c>
      <c r="AF9">
        <f t="shared" si="1"/>
        <v>35</v>
      </c>
      <c r="AG9" s="11">
        <f t="shared" si="2"/>
        <v>45420</v>
      </c>
      <c r="AH9" s="12">
        <f t="shared" si="3"/>
        <v>0.48385416666860692</v>
      </c>
      <c r="AI9" t="str">
        <f t="shared" si="4"/>
        <v>Wednesday</v>
      </c>
      <c r="AJ9" t="str">
        <f>VLOOKUP(HOUR(Orders[[#This Row],[Time]]),$AQ$1:$AR$7,2,1)</f>
        <v>Late Morning</v>
      </c>
      <c r="AK9" t="str">
        <f>IF(Orders[[#This Row],[rain_mode]]=0,"Sunny","Rainy")</f>
        <v>Sunny</v>
      </c>
    </row>
    <row r="10" spans="1:44" x14ac:dyDescent="0.35">
      <c r="A10">
        <v>174075356745024</v>
      </c>
      <c r="B10" t="b">
        <v>0</v>
      </c>
      <c r="C10" t="s">
        <v>42</v>
      </c>
      <c r="D10" t="s">
        <v>42</v>
      </c>
      <c r="E10" t="s">
        <v>106</v>
      </c>
      <c r="F10" t="s">
        <v>107</v>
      </c>
      <c r="G10" t="s">
        <v>32</v>
      </c>
      <c r="H10" t="s">
        <v>33</v>
      </c>
      <c r="I10" t="s">
        <v>108</v>
      </c>
      <c r="J10" t="s">
        <v>109</v>
      </c>
      <c r="K10" t="s">
        <v>110</v>
      </c>
      <c r="L10" t="s">
        <v>111</v>
      </c>
      <c r="M10" t="s">
        <v>112</v>
      </c>
      <c r="N10" t="s">
        <v>39</v>
      </c>
      <c r="O10">
        <v>2011</v>
      </c>
      <c r="P10">
        <v>644</v>
      </c>
      <c r="Q10">
        <v>644</v>
      </c>
      <c r="R10">
        <v>644</v>
      </c>
      <c r="S10">
        <v>275</v>
      </c>
      <c r="T10">
        <v>71</v>
      </c>
      <c r="U10">
        <v>0</v>
      </c>
      <c r="V10" t="s">
        <v>113</v>
      </c>
      <c r="W10">
        <v>5.2</v>
      </c>
      <c r="X10" t="s">
        <v>42</v>
      </c>
      <c r="Y10" t="s">
        <v>41</v>
      </c>
      <c r="Z10" t="s">
        <v>114</v>
      </c>
      <c r="AA10" t="b">
        <v>1</v>
      </c>
      <c r="AB10">
        <v>0</v>
      </c>
      <c r="AC10" t="str">
        <f t="shared" si="0"/>
        <v>No Coupon Applied</v>
      </c>
      <c r="AD10" t="str">
        <f>VLOOKUP(K10,'restaurant name correction'!$A$1:$B$44,2,0)</f>
        <v>Theobroma</v>
      </c>
      <c r="AE10" t="str">
        <f>VLOOKUP(Z10,restaurant_area_correction!$A$1:$B$18,2,0)</f>
        <v>HSR</v>
      </c>
      <c r="AF10">
        <f t="shared" si="1"/>
        <v>0</v>
      </c>
      <c r="AG10" s="11">
        <f t="shared" si="2"/>
        <v>45419</v>
      </c>
      <c r="AH10" s="12">
        <f t="shared" si="3"/>
        <v>0.99023148148262408</v>
      </c>
      <c r="AI10" t="str">
        <f t="shared" si="4"/>
        <v>Tuesday</v>
      </c>
      <c r="AJ10" t="str">
        <f>VLOOKUP(HOUR(Orders[[#This Row],[Time]]),$AQ$1:$AR$7,2,1)</f>
        <v>Night</v>
      </c>
      <c r="AK10" t="str">
        <f>IF(Orders[[#This Row],[rain_mode]]=0,"Sunny","Rainy")</f>
        <v>Sunny</v>
      </c>
    </row>
    <row r="11" spans="1:44" x14ac:dyDescent="0.35">
      <c r="A11">
        <v>174067299373268</v>
      </c>
      <c r="B11" t="b">
        <v>0</v>
      </c>
      <c r="C11" t="s">
        <v>42</v>
      </c>
      <c r="D11" t="s">
        <v>42</v>
      </c>
      <c r="E11" t="s">
        <v>115</v>
      </c>
      <c r="F11" t="s">
        <v>116</v>
      </c>
      <c r="G11" t="s">
        <v>32</v>
      </c>
      <c r="H11" t="s">
        <v>33</v>
      </c>
      <c r="I11" t="s">
        <v>117</v>
      </c>
      <c r="J11" t="s">
        <v>118</v>
      </c>
      <c r="K11" t="s">
        <v>110</v>
      </c>
      <c r="L11" t="s">
        <v>119</v>
      </c>
      <c r="M11" t="s">
        <v>120</v>
      </c>
      <c r="N11" t="s">
        <v>39</v>
      </c>
      <c r="O11">
        <v>1455</v>
      </c>
      <c r="P11">
        <v>387</v>
      </c>
      <c r="Q11">
        <v>387</v>
      </c>
      <c r="R11">
        <v>387</v>
      </c>
      <c r="S11">
        <v>275</v>
      </c>
      <c r="T11">
        <v>0</v>
      </c>
      <c r="U11">
        <v>0</v>
      </c>
      <c r="V11" t="s">
        <v>121</v>
      </c>
      <c r="W11">
        <v>3.2</v>
      </c>
      <c r="X11" t="s">
        <v>42</v>
      </c>
      <c r="Y11" t="s">
        <v>41</v>
      </c>
      <c r="Z11" t="s">
        <v>60</v>
      </c>
      <c r="AA11" t="b">
        <v>1</v>
      </c>
      <c r="AB11">
        <v>0</v>
      </c>
      <c r="AC11" t="str">
        <f t="shared" si="0"/>
        <v>No Coupon Applied</v>
      </c>
      <c r="AD11" t="str">
        <f>VLOOKUP(K11,'restaurant name correction'!$A$1:$B$44,2,0)</f>
        <v>Theobroma</v>
      </c>
      <c r="AE11" t="str">
        <f>VLOOKUP(Z11,restaurant_area_correction!$A$1:$B$18,2,0)</f>
        <v>Jayanagar</v>
      </c>
      <c r="AF11">
        <f t="shared" si="1"/>
        <v>0</v>
      </c>
      <c r="AG11" s="11">
        <f t="shared" si="2"/>
        <v>45419</v>
      </c>
      <c r="AH11" s="12">
        <f t="shared" si="3"/>
        <v>0.89697916666773381</v>
      </c>
      <c r="AI11" t="str">
        <f t="shared" si="4"/>
        <v>Tuesday</v>
      </c>
      <c r="AJ11" t="str">
        <f>VLOOKUP(HOUR(Orders[[#This Row],[Time]]),$AQ$1:$AR$7,2,1)</f>
        <v>Night</v>
      </c>
      <c r="AK11" t="str">
        <f>IF(Orders[[#This Row],[rain_mode]]=0,"Sunny","Rainy")</f>
        <v>Sunny</v>
      </c>
    </row>
    <row r="12" spans="1:44" x14ac:dyDescent="0.35">
      <c r="A12">
        <v>174058332503576</v>
      </c>
      <c r="B12" t="b">
        <v>1</v>
      </c>
      <c r="C12" t="s">
        <v>28</v>
      </c>
      <c r="D12" t="s">
        <v>122</v>
      </c>
      <c r="E12" t="s">
        <v>123</v>
      </c>
      <c r="F12" t="s">
        <v>124</v>
      </c>
      <c r="G12" t="s">
        <v>32</v>
      </c>
      <c r="H12" t="s">
        <v>33</v>
      </c>
      <c r="I12" t="s">
        <v>125</v>
      </c>
      <c r="J12" t="s">
        <v>100</v>
      </c>
      <c r="K12" t="s">
        <v>101</v>
      </c>
      <c r="L12" t="s">
        <v>102</v>
      </c>
      <c r="M12" t="s">
        <v>103</v>
      </c>
      <c r="N12" t="s">
        <v>39</v>
      </c>
      <c r="O12">
        <v>4292</v>
      </c>
      <c r="P12">
        <v>320</v>
      </c>
      <c r="Q12">
        <v>320</v>
      </c>
      <c r="R12">
        <v>320</v>
      </c>
      <c r="S12">
        <v>280</v>
      </c>
      <c r="T12">
        <v>0</v>
      </c>
      <c r="U12">
        <v>0</v>
      </c>
      <c r="V12" t="s">
        <v>104</v>
      </c>
      <c r="W12">
        <v>3.2</v>
      </c>
      <c r="X12" t="s">
        <v>28</v>
      </c>
      <c r="Y12" t="s">
        <v>41</v>
      </c>
      <c r="Z12" t="s">
        <v>105</v>
      </c>
      <c r="AA12" t="b">
        <v>0</v>
      </c>
      <c r="AB12">
        <v>0</v>
      </c>
      <c r="AC12" t="str">
        <f t="shared" si="0"/>
        <v>SWIGGYIT</v>
      </c>
      <c r="AD12" t="str">
        <f>VLOOKUP(K12,'restaurant name correction'!$A$1:$B$44,2,0)</f>
        <v>Naalnaad Mane</v>
      </c>
      <c r="AE12" t="str">
        <f>VLOOKUP(Z12,restaurant_area_correction!$A$1:$B$18,2,0)</f>
        <v>Arekere</v>
      </c>
      <c r="AF12">
        <f t="shared" si="1"/>
        <v>28</v>
      </c>
      <c r="AG12" s="11">
        <f t="shared" si="2"/>
        <v>45419</v>
      </c>
      <c r="AH12" s="12">
        <f t="shared" si="3"/>
        <v>0.79319444444263354</v>
      </c>
      <c r="AI12" t="str">
        <f t="shared" si="4"/>
        <v>Tuesday</v>
      </c>
      <c r="AJ12" t="str">
        <f>VLOOKUP(HOUR(Orders[[#This Row],[Time]]),$AQ$1:$AR$7,2,1)</f>
        <v>Evening</v>
      </c>
      <c r="AK12" t="str">
        <f>IF(Orders[[#This Row],[rain_mode]]=0,"Sunny","Rainy")</f>
        <v>Sunny</v>
      </c>
    </row>
    <row r="13" spans="1:44" x14ac:dyDescent="0.35">
      <c r="A13">
        <v>174037702433562</v>
      </c>
      <c r="B13" t="b">
        <v>1</v>
      </c>
      <c r="C13" t="s">
        <v>126</v>
      </c>
      <c r="D13" t="s">
        <v>127</v>
      </c>
      <c r="E13" t="s">
        <v>128</v>
      </c>
      <c r="F13" t="s">
        <v>129</v>
      </c>
      <c r="G13" t="s">
        <v>32</v>
      </c>
      <c r="H13" t="s">
        <v>33</v>
      </c>
      <c r="I13" t="s">
        <v>130</v>
      </c>
      <c r="J13" t="s">
        <v>76</v>
      </c>
      <c r="K13" t="s">
        <v>77</v>
      </c>
      <c r="L13" t="s">
        <v>78</v>
      </c>
      <c r="M13" t="s">
        <v>79</v>
      </c>
      <c r="N13" t="s">
        <v>39</v>
      </c>
      <c r="O13">
        <v>2730</v>
      </c>
      <c r="P13">
        <v>320</v>
      </c>
      <c r="Q13">
        <v>320</v>
      </c>
      <c r="R13">
        <v>320</v>
      </c>
      <c r="S13">
        <v>325</v>
      </c>
      <c r="T13">
        <v>0</v>
      </c>
      <c r="U13">
        <v>0</v>
      </c>
      <c r="V13" t="s">
        <v>80</v>
      </c>
      <c r="W13">
        <v>2.2000000000000002</v>
      </c>
      <c r="X13" t="s">
        <v>126</v>
      </c>
      <c r="Y13" t="s">
        <v>41</v>
      </c>
      <c r="Z13" t="s">
        <v>81</v>
      </c>
      <c r="AA13" t="b">
        <v>0</v>
      </c>
      <c r="AB13">
        <v>0</v>
      </c>
      <c r="AC13" t="str">
        <f t="shared" si="0"/>
        <v>TRYNEW</v>
      </c>
      <c r="AD13" t="str">
        <f>VLOOKUP(K13,'restaurant name correction'!$A$1:$B$44,2,0)</f>
        <v>Firangi Bake</v>
      </c>
      <c r="AE13" t="str">
        <f>VLOOKUP(Z13,restaurant_area_correction!$A$1:$B$18,2,0)</f>
        <v>BTM</v>
      </c>
      <c r="AF13">
        <f t="shared" si="1"/>
        <v>80</v>
      </c>
      <c r="AG13" s="11">
        <f t="shared" si="2"/>
        <v>45419</v>
      </c>
      <c r="AH13" s="12">
        <f t="shared" si="3"/>
        <v>0.55442129629955161</v>
      </c>
      <c r="AI13" t="str">
        <f t="shared" si="4"/>
        <v>Tuesday</v>
      </c>
      <c r="AJ13" t="str">
        <f>VLOOKUP(HOUR(Orders[[#This Row],[Time]]),$AQ$1:$AR$7,2,1)</f>
        <v>Afternoon</v>
      </c>
      <c r="AK13" t="str">
        <f>IF(Orders[[#This Row],[rain_mode]]=0,"Sunny","Rainy")</f>
        <v>Sunny</v>
      </c>
    </row>
    <row r="14" spans="1:44" x14ac:dyDescent="0.35">
      <c r="A14">
        <v>174026206595017</v>
      </c>
      <c r="B14" t="b">
        <v>1</v>
      </c>
      <c r="C14" t="s">
        <v>28</v>
      </c>
      <c r="D14" t="s">
        <v>131</v>
      </c>
      <c r="E14" t="s">
        <v>132</v>
      </c>
      <c r="F14" t="s">
        <v>133</v>
      </c>
      <c r="G14" t="s">
        <v>32</v>
      </c>
      <c r="H14" t="s">
        <v>33</v>
      </c>
      <c r="I14" t="s">
        <v>134</v>
      </c>
      <c r="J14" t="s">
        <v>65</v>
      </c>
      <c r="K14" t="s">
        <v>66</v>
      </c>
      <c r="L14" t="s">
        <v>67</v>
      </c>
      <c r="M14" t="s">
        <v>68</v>
      </c>
      <c r="N14" t="s">
        <v>39</v>
      </c>
      <c r="O14">
        <v>1927</v>
      </c>
      <c r="P14">
        <v>275</v>
      </c>
      <c r="Q14">
        <v>275</v>
      </c>
      <c r="R14">
        <v>275</v>
      </c>
      <c r="S14">
        <v>239</v>
      </c>
      <c r="T14">
        <v>10</v>
      </c>
      <c r="U14">
        <v>0</v>
      </c>
      <c r="V14" t="s">
        <v>69</v>
      </c>
      <c r="W14">
        <v>2.5</v>
      </c>
      <c r="X14" t="s">
        <v>28</v>
      </c>
      <c r="Y14" t="s">
        <v>41</v>
      </c>
      <c r="Z14" t="s">
        <v>70</v>
      </c>
      <c r="AA14" t="b">
        <v>1</v>
      </c>
      <c r="AB14">
        <v>0</v>
      </c>
      <c r="AC14" t="str">
        <f t="shared" si="0"/>
        <v>SWIGGYIT</v>
      </c>
      <c r="AD14" t="str">
        <f>VLOOKUP(K14,'restaurant name correction'!$A$1:$B$44,2,0)</f>
        <v>Rasayan</v>
      </c>
      <c r="AE14" t="str">
        <f>VLOOKUP(Z14,restaurant_area_correction!$A$1:$B$18,2,0)</f>
        <v>BTM</v>
      </c>
      <c r="AF14">
        <f t="shared" si="1"/>
        <v>23.9</v>
      </c>
      <c r="AG14" s="11">
        <f t="shared" si="2"/>
        <v>45419</v>
      </c>
      <c r="AH14" s="12">
        <f t="shared" si="3"/>
        <v>0.42136574073811062</v>
      </c>
      <c r="AI14" t="str">
        <f t="shared" si="4"/>
        <v>Tuesday</v>
      </c>
      <c r="AJ14" t="str">
        <f>VLOOKUP(HOUR(Orders[[#This Row],[Time]]),$AQ$1:$AR$7,2,1)</f>
        <v>Late Morning</v>
      </c>
      <c r="AK14" t="str">
        <f>IF(Orders[[#This Row],[rain_mode]]=0,"Sunny","Rainy")</f>
        <v>Sunny</v>
      </c>
    </row>
    <row r="15" spans="1:44" x14ac:dyDescent="0.35">
      <c r="A15">
        <v>173972919485563</v>
      </c>
      <c r="B15" t="b">
        <v>1</v>
      </c>
      <c r="C15" t="s">
        <v>28</v>
      </c>
      <c r="D15" t="s">
        <v>135</v>
      </c>
      <c r="E15" t="s">
        <v>136</v>
      </c>
      <c r="F15" t="s">
        <v>137</v>
      </c>
      <c r="G15" t="s">
        <v>32</v>
      </c>
      <c r="H15" t="s">
        <v>33</v>
      </c>
      <c r="I15" t="s">
        <v>138</v>
      </c>
      <c r="J15" t="s">
        <v>35</v>
      </c>
      <c r="K15" t="s">
        <v>36</v>
      </c>
      <c r="L15" t="s">
        <v>37</v>
      </c>
      <c r="M15" t="s">
        <v>38</v>
      </c>
      <c r="N15" t="s">
        <v>39</v>
      </c>
      <c r="O15">
        <v>2041</v>
      </c>
      <c r="P15">
        <v>334</v>
      </c>
      <c r="Q15">
        <v>334</v>
      </c>
      <c r="R15">
        <v>334</v>
      </c>
      <c r="S15">
        <v>385</v>
      </c>
      <c r="T15">
        <v>42</v>
      </c>
      <c r="U15">
        <v>0</v>
      </c>
      <c r="V15" t="s">
        <v>40</v>
      </c>
      <c r="W15">
        <v>2.1</v>
      </c>
      <c r="X15" t="s">
        <v>28</v>
      </c>
      <c r="Y15" t="s">
        <v>41</v>
      </c>
      <c r="Z15" t="s">
        <v>38</v>
      </c>
      <c r="AA15" t="b">
        <v>0</v>
      </c>
      <c r="AB15">
        <v>0</v>
      </c>
      <c r="AC15" t="str">
        <f t="shared" si="0"/>
        <v>SWIGGYIT</v>
      </c>
      <c r="AD15" t="str">
        <f>VLOOKUP(K15,'restaurant name correction'!$A$1:$B$44,2,0)</f>
        <v xml:space="preserve">Paris Panini </v>
      </c>
      <c r="AE15" t="str">
        <f>VLOOKUP(Z15,restaurant_area_correction!$A$1:$B$18,2,0)</f>
        <v>JP Nagar</v>
      </c>
      <c r="AF15">
        <f t="shared" si="1"/>
        <v>100</v>
      </c>
      <c r="AG15" s="11">
        <f t="shared" si="2"/>
        <v>45418</v>
      </c>
      <c r="AH15" s="12">
        <f t="shared" si="3"/>
        <v>0.804618055553874</v>
      </c>
      <c r="AI15" t="str">
        <f t="shared" si="4"/>
        <v>Monday</v>
      </c>
      <c r="AJ15" t="str">
        <f>VLOOKUP(HOUR(Orders[[#This Row],[Time]]),$AQ$1:$AR$7,2,1)</f>
        <v>Evening</v>
      </c>
      <c r="AK15" t="str">
        <f>IF(Orders[[#This Row],[rain_mode]]=0,"Sunny","Rainy")</f>
        <v>Sunny</v>
      </c>
    </row>
    <row r="16" spans="1:44" x14ac:dyDescent="0.35">
      <c r="A16">
        <v>173961191807457</v>
      </c>
      <c r="B16" t="b">
        <v>0</v>
      </c>
      <c r="C16" t="s">
        <v>42</v>
      </c>
      <c r="D16" t="s">
        <v>42</v>
      </c>
      <c r="E16" t="s">
        <v>139</v>
      </c>
      <c r="F16" t="s">
        <v>140</v>
      </c>
      <c r="G16" t="s">
        <v>32</v>
      </c>
      <c r="H16" t="s">
        <v>33</v>
      </c>
      <c r="I16" t="s">
        <v>141</v>
      </c>
      <c r="J16" t="s">
        <v>142</v>
      </c>
      <c r="K16" t="s">
        <v>143</v>
      </c>
      <c r="L16" t="s">
        <v>144</v>
      </c>
      <c r="M16" t="s">
        <v>145</v>
      </c>
      <c r="N16" t="s">
        <v>39</v>
      </c>
      <c r="O16">
        <v>4528</v>
      </c>
      <c r="P16">
        <v>509</v>
      </c>
      <c r="Q16">
        <v>509</v>
      </c>
      <c r="R16">
        <v>509</v>
      </c>
      <c r="S16">
        <v>370</v>
      </c>
      <c r="T16">
        <v>0</v>
      </c>
      <c r="U16">
        <v>0</v>
      </c>
      <c r="V16" t="s">
        <v>146</v>
      </c>
      <c r="W16">
        <v>10.199999999999999</v>
      </c>
      <c r="X16" t="s">
        <v>42</v>
      </c>
      <c r="Y16" t="s">
        <v>41</v>
      </c>
      <c r="Z16" t="s">
        <v>147</v>
      </c>
      <c r="AA16" t="b">
        <v>1</v>
      </c>
      <c r="AB16">
        <v>0</v>
      </c>
      <c r="AC16" t="str">
        <f t="shared" si="0"/>
        <v>No Coupon Applied</v>
      </c>
      <c r="AD16" t="str">
        <f>VLOOKUP(K16,'restaurant name correction'!$A$1:$B$44,2,0)</f>
        <v>Love And Crumble</v>
      </c>
      <c r="AE16" t="str">
        <f>VLOOKUP(Z16,restaurant_area_correction!$A$1:$B$18,2,0)</f>
        <v>Malleshwaram</v>
      </c>
      <c r="AF16">
        <f t="shared" si="1"/>
        <v>0</v>
      </c>
      <c r="AG16" s="11">
        <f t="shared" si="2"/>
        <v>45418</v>
      </c>
      <c r="AH16" s="12">
        <f t="shared" si="3"/>
        <v>0.66888888888934162</v>
      </c>
      <c r="AI16" t="str">
        <f t="shared" si="4"/>
        <v>Monday</v>
      </c>
      <c r="AJ16" t="str">
        <f>VLOOKUP(HOUR(Orders[[#This Row],[Time]]),$AQ$1:$AR$7,2,1)</f>
        <v>Evening</v>
      </c>
      <c r="AK16" t="str">
        <f>IF(Orders[[#This Row],[rain_mode]]=0,"Sunny","Rainy")</f>
        <v>Sunny</v>
      </c>
    </row>
    <row r="17" spans="1:37" x14ac:dyDescent="0.35">
      <c r="A17">
        <v>173953404362535</v>
      </c>
      <c r="B17" t="b">
        <v>1</v>
      </c>
      <c r="C17" t="s">
        <v>71</v>
      </c>
      <c r="D17" t="s">
        <v>148</v>
      </c>
      <c r="E17" t="s">
        <v>149</v>
      </c>
      <c r="F17" t="s">
        <v>150</v>
      </c>
      <c r="G17" t="s">
        <v>32</v>
      </c>
      <c r="H17" t="s">
        <v>33</v>
      </c>
      <c r="I17" t="s">
        <v>151</v>
      </c>
      <c r="J17" t="s">
        <v>152</v>
      </c>
      <c r="K17" t="s">
        <v>77</v>
      </c>
      <c r="L17" t="s">
        <v>153</v>
      </c>
      <c r="M17" t="s">
        <v>154</v>
      </c>
      <c r="N17" t="s">
        <v>39</v>
      </c>
      <c r="O17">
        <v>3728</v>
      </c>
      <c r="P17">
        <v>556</v>
      </c>
      <c r="Q17">
        <v>556</v>
      </c>
      <c r="R17">
        <v>556</v>
      </c>
      <c r="S17">
        <v>624</v>
      </c>
      <c r="T17">
        <v>48</v>
      </c>
      <c r="U17">
        <v>0</v>
      </c>
      <c r="V17" t="s">
        <v>155</v>
      </c>
      <c r="W17">
        <v>3.4</v>
      </c>
      <c r="X17" t="s">
        <v>71</v>
      </c>
      <c r="Y17" t="s">
        <v>41</v>
      </c>
      <c r="Z17" t="s">
        <v>105</v>
      </c>
      <c r="AA17" t="b">
        <v>0</v>
      </c>
      <c r="AB17">
        <v>0</v>
      </c>
      <c r="AC17" t="str">
        <f t="shared" si="0"/>
        <v>DEALICIOUS</v>
      </c>
      <c r="AD17" t="str">
        <f>VLOOKUP(K17,'restaurant name correction'!$A$1:$B$44,2,0)</f>
        <v>Firangi Bake</v>
      </c>
      <c r="AE17" t="str">
        <f>VLOOKUP(Z17,restaurant_area_correction!$A$1:$B$18,2,0)</f>
        <v>Arekere</v>
      </c>
      <c r="AF17">
        <f t="shared" si="1"/>
        <v>124.99</v>
      </c>
      <c r="AG17" s="11">
        <f t="shared" si="2"/>
        <v>45418</v>
      </c>
      <c r="AH17" s="12">
        <f t="shared" si="3"/>
        <v>0.57875000000058208</v>
      </c>
      <c r="AI17" t="str">
        <f t="shared" si="4"/>
        <v>Monday</v>
      </c>
      <c r="AJ17" t="str">
        <f>VLOOKUP(HOUR(Orders[[#This Row],[Time]]),$AQ$1:$AR$7,2,1)</f>
        <v>Afternoon</v>
      </c>
      <c r="AK17" t="str">
        <f>IF(Orders[[#This Row],[rain_mode]]=0,"Sunny","Rainy")</f>
        <v>Sunny</v>
      </c>
    </row>
    <row r="18" spans="1:37" x14ac:dyDescent="0.35">
      <c r="A18">
        <v>173934793528823</v>
      </c>
      <c r="B18" t="b">
        <v>1</v>
      </c>
      <c r="C18" t="s">
        <v>28</v>
      </c>
      <c r="D18" t="s">
        <v>131</v>
      </c>
      <c r="E18" t="s">
        <v>156</v>
      </c>
      <c r="F18" t="s">
        <v>157</v>
      </c>
      <c r="G18" t="s">
        <v>32</v>
      </c>
      <c r="H18" t="s">
        <v>33</v>
      </c>
      <c r="I18" t="s">
        <v>158</v>
      </c>
      <c r="J18" t="s">
        <v>65</v>
      </c>
      <c r="K18" t="s">
        <v>66</v>
      </c>
      <c r="L18" t="s">
        <v>67</v>
      </c>
      <c r="M18" t="s">
        <v>68</v>
      </c>
      <c r="N18" t="s">
        <v>39</v>
      </c>
      <c r="O18">
        <v>2470</v>
      </c>
      <c r="P18">
        <v>242</v>
      </c>
      <c r="Q18">
        <v>242</v>
      </c>
      <c r="R18">
        <v>242</v>
      </c>
      <c r="S18">
        <v>239</v>
      </c>
      <c r="T18">
        <v>43</v>
      </c>
      <c r="U18">
        <v>0</v>
      </c>
      <c r="V18" t="s">
        <v>69</v>
      </c>
      <c r="W18">
        <v>2.5</v>
      </c>
      <c r="X18" t="s">
        <v>28</v>
      </c>
      <c r="Y18" t="s">
        <v>41</v>
      </c>
      <c r="Z18" t="s">
        <v>70</v>
      </c>
      <c r="AA18" t="b">
        <v>0</v>
      </c>
      <c r="AB18">
        <v>0</v>
      </c>
      <c r="AC18" t="str">
        <f t="shared" si="0"/>
        <v>SWIGGYIT</v>
      </c>
      <c r="AD18" t="str">
        <f>VLOOKUP(K18,'restaurant name correction'!$A$1:$B$44,2,0)</f>
        <v>Rasayan</v>
      </c>
      <c r="AE18" t="str">
        <f>VLOOKUP(Z18,restaurant_area_correction!$A$1:$B$18,2,0)</f>
        <v>BTM</v>
      </c>
      <c r="AF18">
        <f t="shared" si="1"/>
        <v>23.9</v>
      </c>
      <c r="AG18" s="11">
        <f t="shared" si="2"/>
        <v>45418</v>
      </c>
      <c r="AH18" s="12">
        <f t="shared" si="3"/>
        <v>0.36334490740409819</v>
      </c>
      <c r="AI18" t="str">
        <f t="shared" si="4"/>
        <v>Monday</v>
      </c>
      <c r="AJ18" t="str">
        <f>VLOOKUP(HOUR(Orders[[#This Row],[Time]]),$AQ$1:$AR$7,2,1)</f>
        <v>Late Morning</v>
      </c>
      <c r="AK18" t="str">
        <f>IF(Orders[[#This Row],[rain_mode]]=0,"Sunny","Rainy")</f>
        <v>Sunny</v>
      </c>
    </row>
    <row r="19" spans="1:37" x14ac:dyDescent="0.35">
      <c r="A19">
        <v>173886476249693</v>
      </c>
      <c r="B19" t="b">
        <v>1</v>
      </c>
      <c r="C19" t="s">
        <v>28</v>
      </c>
      <c r="D19" t="s">
        <v>159</v>
      </c>
      <c r="E19" t="s">
        <v>160</v>
      </c>
      <c r="F19" t="s">
        <v>161</v>
      </c>
      <c r="G19" t="s">
        <v>32</v>
      </c>
      <c r="H19" t="s">
        <v>33</v>
      </c>
      <c r="I19" t="s">
        <v>162</v>
      </c>
      <c r="J19" t="s">
        <v>65</v>
      </c>
      <c r="K19" t="s">
        <v>66</v>
      </c>
      <c r="L19" t="s">
        <v>67</v>
      </c>
      <c r="M19" t="s">
        <v>68</v>
      </c>
      <c r="N19" t="s">
        <v>39</v>
      </c>
      <c r="O19">
        <v>1594</v>
      </c>
      <c r="P19">
        <v>487</v>
      </c>
      <c r="Q19">
        <v>487</v>
      </c>
      <c r="R19">
        <v>487</v>
      </c>
      <c r="S19">
        <v>478</v>
      </c>
      <c r="T19">
        <v>36</v>
      </c>
      <c r="U19">
        <v>0</v>
      </c>
      <c r="V19" t="s">
        <v>69</v>
      </c>
      <c r="W19">
        <v>2.5</v>
      </c>
      <c r="X19" t="s">
        <v>28</v>
      </c>
      <c r="Y19" t="s">
        <v>41</v>
      </c>
      <c r="Z19" t="s">
        <v>70</v>
      </c>
      <c r="AA19" t="b">
        <v>1</v>
      </c>
      <c r="AB19">
        <v>0</v>
      </c>
      <c r="AC19" t="str">
        <f t="shared" si="0"/>
        <v>SWIGGYIT</v>
      </c>
      <c r="AD19" t="str">
        <f>VLOOKUP(K19,'restaurant name correction'!$A$1:$B$44,2,0)</f>
        <v>Rasayan</v>
      </c>
      <c r="AE19" t="str">
        <f>VLOOKUP(Z19,restaurant_area_correction!$A$1:$B$18,2,0)</f>
        <v>BTM</v>
      </c>
      <c r="AF19">
        <f t="shared" si="1"/>
        <v>40</v>
      </c>
      <c r="AG19" s="11">
        <f t="shared" si="2"/>
        <v>45417</v>
      </c>
      <c r="AH19" s="12">
        <f t="shared" si="3"/>
        <v>0.80412037036876427</v>
      </c>
      <c r="AI19" t="str">
        <f t="shared" si="4"/>
        <v>Sunday</v>
      </c>
      <c r="AJ19" t="str">
        <f>VLOOKUP(HOUR(Orders[[#This Row],[Time]]),$AQ$1:$AR$7,2,1)</f>
        <v>Evening</v>
      </c>
      <c r="AK19" t="str">
        <f>IF(Orders[[#This Row],[rain_mode]]=0,"Sunny","Rainy")</f>
        <v>Sunny</v>
      </c>
    </row>
    <row r="20" spans="1:37" x14ac:dyDescent="0.35">
      <c r="A20">
        <v>173848012476255</v>
      </c>
      <c r="B20" t="b">
        <v>1</v>
      </c>
      <c r="C20" t="s">
        <v>163</v>
      </c>
      <c r="D20" t="s">
        <v>164</v>
      </c>
      <c r="E20" t="s">
        <v>165</v>
      </c>
      <c r="F20" t="s">
        <v>166</v>
      </c>
      <c r="G20" t="s">
        <v>32</v>
      </c>
      <c r="H20" t="s">
        <v>33</v>
      </c>
      <c r="I20" t="s">
        <v>167</v>
      </c>
      <c r="J20" t="s">
        <v>65</v>
      </c>
      <c r="K20" t="s">
        <v>66</v>
      </c>
      <c r="L20" t="s">
        <v>67</v>
      </c>
      <c r="M20" t="s">
        <v>68</v>
      </c>
      <c r="N20" t="s">
        <v>39</v>
      </c>
      <c r="O20">
        <v>2999</v>
      </c>
      <c r="P20">
        <v>392</v>
      </c>
      <c r="Q20">
        <v>392</v>
      </c>
      <c r="R20">
        <v>392</v>
      </c>
      <c r="S20">
        <v>498</v>
      </c>
      <c r="T20">
        <v>43</v>
      </c>
      <c r="U20">
        <v>0</v>
      </c>
      <c r="V20" t="s">
        <v>69</v>
      </c>
      <c r="W20">
        <v>2.5</v>
      </c>
      <c r="X20" t="s">
        <v>163</v>
      </c>
      <c r="Y20" t="s">
        <v>41</v>
      </c>
      <c r="Z20" t="s">
        <v>70</v>
      </c>
      <c r="AA20" t="b">
        <v>0</v>
      </c>
      <c r="AB20">
        <v>0</v>
      </c>
      <c r="AC20" t="str">
        <f t="shared" si="0"/>
        <v>JUMBO</v>
      </c>
      <c r="AD20" t="str">
        <f>VLOOKUP(K20,'restaurant name correction'!$A$1:$B$44,2,0)</f>
        <v>Rasayan</v>
      </c>
      <c r="AE20" t="str">
        <f>VLOOKUP(Z20,restaurant_area_correction!$A$1:$B$18,2,0)</f>
        <v>BTM</v>
      </c>
      <c r="AF20">
        <f t="shared" si="1"/>
        <v>149.4</v>
      </c>
      <c r="AG20" s="11">
        <f t="shared" si="2"/>
        <v>45417</v>
      </c>
      <c r="AH20" s="12">
        <f t="shared" si="3"/>
        <v>0.35893518518423662</v>
      </c>
      <c r="AI20" t="str">
        <f t="shared" si="4"/>
        <v>Sunday</v>
      </c>
      <c r="AJ20" t="str">
        <f>VLOOKUP(HOUR(Orders[[#This Row],[Time]]),$AQ$1:$AR$7,2,1)</f>
        <v>Late Morning</v>
      </c>
      <c r="AK20" t="str">
        <f>IF(Orders[[#This Row],[rain_mode]]=0,"Sunny","Rainy")</f>
        <v>Sunny</v>
      </c>
    </row>
    <row r="21" spans="1:37" x14ac:dyDescent="0.35">
      <c r="A21">
        <v>173787961265182</v>
      </c>
      <c r="B21" t="b">
        <v>1</v>
      </c>
      <c r="C21" t="s">
        <v>126</v>
      </c>
      <c r="D21" t="s">
        <v>168</v>
      </c>
      <c r="E21" t="s">
        <v>169</v>
      </c>
      <c r="F21" t="s">
        <v>170</v>
      </c>
      <c r="G21" t="s">
        <v>32</v>
      </c>
      <c r="H21" t="s">
        <v>33</v>
      </c>
      <c r="I21" t="s">
        <v>171</v>
      </c>
      <c r="J21" t="s">
        <v>100</v>
      </c>
      <c r="K21" t="s">
        <v>101</v>
      </c>
      <c r="L21" t="s">
        <v>102</v>
      </c>
      <c r="M21" t="s">
        <v>103</v>
      </c>
      <c r="N21" t="s">
        <v>39</v>
      </c>
      <c r="O21">
        <v>2684</v>
      </c>
      <c r="P21">
        <v>680</v>
      </c>
      <c r="Q21">
        <v>680</v>
      </c>
      <c r="R21">
        <v>680</v>
      </c>
      <c r="S21">
        <v>660</v>
      </c>
      <c r="T21">
        <v>33</v>
      </c>
      <c r="U21">
        <v>0</v>
      </c>
      <c r="V21" t="s">
        <v>104</v>
      </c>
      <c r="W21">
        <v>2.7</v>
      </c>
      <c r="X21" t="s">
        <v>126</v>
      </c>
      <c r="Y21" t="s">
        <v>41</v>
      </c>
      <c r="Z21" t="s">
        <v>105</v>
      </c>
      <c r="AA21" t="b">
        <v>1</v>
      </c>
      <c r="AB21">
        <v>0</v>
      </c>
      <c r="AC21" t="str">
        <f t="shared" si="0"/>
        <v>TRYNEW</v>
      </c>
      <c r="AD21" t="str">
        <f>VLOOKUP(K21,'restaurant name correction'!$A$1:$B$44,2,0)</f>
        <v>Naalnaad Mane</v>
      </c>
      <c r="AE21" t="str">
        <f>VLOOKUP(Z21,restaurant_area_correction!$A$1:$B$18,2,0)</f>
        <v>Arekere</v>
      </c>
      <c r="AF21">
        <f t="shared" si="1"/>
        <v>44.99</v>
      </c>
      <c r="AG21" s="11">
        <f t="shared" si="2"/>
        <v>45416</v>
      </c>
      <c r="AH21" s="12">
        <f t="shared" si="3"/>
        <v>0.66390046296146465</v>
      </c>
      <c r="AI21" t="str">
        <f t="shared" si="4"/>
        <v>Saturday</v>
      </c>
      <c r="AJ21" t="str">
        <f>VLOOKUP(HOUR(Orders[[#This Row],[Time]]),$AQ$1:$AR$7,2,1)</f>
        <v>Afternoon</v>
      </c>
      <c r="AK21" t="str">
        <f>IF(Orders[[#This Row],[rain_mode]]=0,"Sunny","Rainy")</f>
        <v>Sunny</v>
      </c>
    </row>
    <row r="22" spans="1:37" x14ac:dyDescent="0.35">
      <c r="A22">
        <v>173627120783219</v>
      </c>
      <c r="B22" t="b">
        <v>1</v>
      </c>
      <c r="C22" t="s">
        <v>50</v>
      </c>
      <c r="D22" t="s">
        <v>172</v>
      </c>
      <c r="E22" t="s">
        <v>173</v>
      </c>
      <c r="F22" t="s">
        <v>174</v>
      </c>
      <c r="G22" t="s">
        <v>32</v>
      </c>
      <c r="H22" t="s">
        <v>33</v>
      </c>
      <c r="I22" t="s">
        <v>175</v>
      </c>
      <c r="J22" t="s">
        <v>176</v>
      </c>
      <c r="K22" t="s">
        <v>177</v>
      </c>
      <c r="L22" t="s">
        <v>178</v>
      </c>
      <c r="M22" t="s">
        <v>179</v>
      </c>
      <c r="N22" t="s">
        <v>39</v>
      </c>
      <c r="O22">
        <v>1654</v>
      </c>
      <c r="P22">
        <v>214</v>
      </c>
      <c r="Q22">
        <v>214</v>
      </c>
      <c r="R22">
        <v>214</v>
      </c>
      <c r="S22">
        <v>239</v>
      </c>
      <c r="T22">
        <v>54</v>
      </c>
      <c r="U22">
        <v>0</v>
      </c>
      <c r="V22" t="s">
        <v>180</v>
      </c>
      <c r="W22">
        <v>1.6</v>
      </c>
      <c r="X22" t="s">
        <v>50</v>
      </c>
      <c r="Y22" t="s">
        <v>92</v>
      </c>
      <c r="Z22" t="s">
        <v>38</v>
      </c>
      <c r="AA22" t="b">
        <v>1</v>
      </c>
      <c r="AB22">
        <v>2</v>
      </c>
      <c r="AC22" t="str">
        <f t="shared" si="0"/>
        <v>MISSEDYOU</v>
      </c>
      <c r="AD22" t="str">
        <f>VLOOKUP(K22,'restaurant name correction'!$A$1:$B$44,2,0)</f>
        <v>Homely</v>
      </c>
      <c r="AE22" t="str">
        <f>VLOOKUP(Z22,restaurant_area_correction!$A$1:$B$18,2,0)</f>
        <v>JP Nagar</v>
      </c>
      <c r="AF22">
        <f t="shared" si="1"/>
        <v>60</v>
      </c>
      <c r="AG22" s="11">
        <f t="shared" si="2"/>
        <v>45414</v>
      </c>
      <c r="AH22" s="12">
        <f t="shared" si="3"/>
        <v>0.80231481481314404</v>
      </c>
      <c r="AI22" t="str">
        <f t="shared" si="4"/>
        <v>Thursday</v>
      </c>
      <c r="AJ22" t="str">
        <f>VLOOKUP(HOUR(Orders[[#This Row],[Time]]),$AQ$1:$AR$7,2,1)</f>
        <v>Evening</v>
      </c>
      <c r="AK22" t="str">
        <f>IF(Orders[[#This Row],[rain_mode]]=0,"Sunny","Rainy")</f>
        <v>Rainy</v>
      </c>
    </row>
    <row r="23" spans="1:37" x14ac:dyDescent="0.35">
      <c r="A23">
        <v>173528899495632</v>
      </c>
      <c r="B23" t="b">
        <v>1</v>
      </c>
      <c r="C23" t="s">
        <v>126</v>
      </c>
      <c r="D23" t="s">
        <v>181</v>
      </c>
      <c r="E23" t="s">
        <v>182</v>
      </c>
      <c r="F23" t="s">
        <v>183</v>
      </c>
      <c r="G23" t="s">
        <v>32</v>
      </c>
      <c r="H23" t="s">
        <v>33</v>
      </c>
      <c r="I23" t="s">
        <v>184</v>
      </c>
      <c r="J23" t="s">
        <v>35</v>
      </c>
      <c r="K23" t="s">
        <v>36</v>
      </c>
      <c r="L23" t="s">
        <v>37</v>
      </c>
      <c r="M23" t="s">
        <v>38</v>
      </c>
      <c r="N23" t="s">
        <v>39</v>
      </c>
      <c r="O23">
        <v>2161</v>
      </c>
      <c r="P23">
        <v>696</v>
      </c>
      <c r="Q23">
        <v>696</v>
      </c>
      <c r="R23">
        <v>696</v>
      </c>
      <c r="S23">
        <v>680</v>
      </c>
      <c r="T23">
        <v>36</v>
      </c>
      <c r="U23">
        <v>0</v>
      </c>
      <c r="V23" t="s">
        <v>40</v>
      </c>
      <c r="W23">
        <v>2.1</v>
      </c>
      <c r="X23" t="s">
        <v>126</v>
      </c>
      <c r="Y23" t="s">
        <v>41</v>
      </c>
      <c r="Z23" t="s">
        <v>38</v>
      </c>
      <c r="AA23" t="b">
        <v>0</v>
      </c>
      <c r="AB23">
        <v>0</v>
      </c>
      <c r="AC23" t="str">
        <f t="shared" si="0"/>
        <v>TRYNEW</v>
      </c>
      <c r="AD23" t="str">
        <f>VLOOKUP(K23,'restaurant name correction'!$A$1:$B$44,2,0)</f>
        <v xml:space="preserve">Paris Panini </v>
      </c>
      <c r="AE23" t="str">
        <f>VLOOKUP(Z23,restaurant_area_correction!$A$1:$B$18,2,0)</f>
        <v>JP Nagar</v>
      </c>
      <c r="AF23">
        <f t="shared" si="1"/>
        <v>99.99</v>
      </c>
      <c r="AG23" s="11">
        <f t="shared" si="2"/>
        <v>45413</v>
      </c>
      <c r="AH23" s="12">
        <f t="shared" si="3"/>
        <v>0.66549768518598285</v>
      </c>
      <c r="AI23" t="str">
        <f t="shared" si="4"/>
        <v>Wednesday</v>
      </c>
      <c r="AJ23" t="str">
        <f>VLOOKUP(HOUR(Orders[[#This Row],[Time]]),$AQ$1:$AR$7,2,1)</f>
        <v>Afternoon</v>
      </c>
      <c r="AK23" t="str">
        <f>IF(Orders[[#This Row],[rain_mode]]=0,"Sunny","Rainy")</f>
        <v>Sunny</v>
      </c>
    </row>
    <row r="24" spans="1:37" x14ac:dyDescent="0.35">
      <c r="A24">
        <v>173508364352211</v>
      </c>
      <c r="B24" t="b">
        <v>1</v>
      </c>
      <c r="C24" t="s">
        <v>163</v>
      </c>
      <c r="D24" t="s">
        <v>185</v>
      </c>
      <c r="E24" t="s">
        <v>186</v>
      </c>
      <c r="F24" t="s">
        <v>187</v>
      </c>
      <c r="G24" t="s">
        <v>32</v>
      </c>
      <c r="H24" t="s">
        <v>33</v>
      </c>
      <c r="I24" t="s">
        <v>188</v>
      </c>
      <c r="J24" t="s">
        <v>65</v>
      </c>
      <c r="K24" t="s">
        <v>66</v>
      </c>
      <c r="L24" t="s">
        <v>67</v>
      </c>
      <c r="M24" t="s">
        <v>68</v>
      </c>
      <c r="N24" t="s">
        <v>39</v>
      </c>
      <c r="O24">
        <v>2775</v>
      </c>
      <c r="P24">
        <v>399</v>
      </c>
      <c r="Q24">
        <v>399</v>
      </c>
      <c r="R24">
        <v>399</v>
      </c>
      <c r="S24">
        <v>496</v>
      </c>
      <c r="T24">
        <v>43</v>
      </c>
      <c r="U24">
        <v>0</v>
      </c>
      <c r="V24" t="s">
        <v>69</v>
      </c>
      <c r="W24">
        <v>2.5</v>
      </c>
      <c r="X24" t="s">
        <v>163</v>
      </c>
      <c r="Y24" t="s">
        <v>41</v>
      </c>
      <c r="Z24" t="s">
        <v>70</v>
      </c>
      <c r="AA24" t="b">
        <v>0</v>
      </c>
      <c r="AB24">
        <v>0</v>
      </c>
      <c r="AC24" t="str">
        <f t="shared" si="0"/>
        <v>JUMBO</v>
      </c>
      <c r="AD24" t="str">
        <f>VLOOKUP(K24,'restaurant name correction'!$A$1:$B$44,2,0)</f>
        <v>Rasayan</v>
      </c>
      <c r="AE24" t="str">
        <f>VLOOKUP(Z24,restaurant_area_correction!$A$1:$B$18,2,0)</f>
        <v>BTM</v>
      </c>
      <c r="AF24">
        <f t="shared" si="1"/>
        <v>148.80000000000001</v>
      </c>
      <c r="AG24" s="11">
        <f t="shared" si="2"/>
        <v>45413</v>
      </c>
      <c r="AH24" s="12">
        <f t="shared" si="3"/>
        <v>0.42782407407503342</v>
      </c>
      <c r="AI24" t="str">
        <f t="shared" si="4"/>
        <v>Wednesday</v>
      </c>
      <c r="AJ24" t="str">
        <f>VLOOKUP(HOUR(Orders[[#This Row],[Time]]),$AQ$1:$AR$7,2,1)</f>
        <v>Late Morning</v>
      </c>
      <c r="AK24" t="str">
        <f>IF(Orders[[#This Row],[rain_mode]]=0,"Sunny","Rainy")</f>
        <v>Sunny</v>
      </c>
    </row>
    <row r="25" spans="1:37" x14ac:dyDescent="0.35">
      <c r="A25">
        <v>173162395766364</v>
      </c>
      <c r="B25" t="b">
        <v>1</v>
      </c>
      <c r="C25" t="s">
        <v>163</v>
      </c>
      <c r="D25" t="s">
        <v>189</v>
      </c>
      <c r="E25" t="s">
        <v>190</v>
      </c>
      <c r="F25" t="s">
        <v>191</v>
      </c>
      <c r="G25" t="s">
        <v>32</v>
      </c>
      <c r="H25" t="s">
        <v>33</v>
      </c>
      <c r="I25" t="s">
        <v>192</v>
      </c>
      <c r="J25" t="s">
        <v>65</v>
      </c>
      <c r="K25" t="s">
        <v>66</v>
      </c>
      <c r="L25" t="s">
        <v>67</v>
      </c>
      <c r="M25" t="s">
        <v>68</v>
      </c>
      <c r="N25" t="s">
        <v>39</v>
      </c>
      <c r="O25">
        <v>2197</v>
      </c>
      <c r="P25">
        <v>489</v>
      </c>
      <c r="Q25">
        <v>489</v>
      </c>
      <c r="R25">
        <v>489</v>
      </c>
      <c r="S25">
        <v>580</v>
      </c>
      <c r="T25">
        <v>43</v>
      </c>
      <c r="U25">
        <v>0</v>
      </c>
      <c r="V25" t="s">
        <v>69</v>
      </c>
      <c r="W25">
        <v>2.5</v>
      </c>
      <c r="X25" t="s">
        <v>163</v>
      </c>
      <c r="Y25" t="s">
        <v>41</v>
      </c>
      <c r="Z25" t="s">
        <v>70</v>
      </c>
      <c r="AA25" t="b">
        <v>0</v>
      </c>
      <c r="AB25">
        <v>0</v>
      </c>
      <c r="AC25" t="str">
        <f t="shared" si="0"/>
        <v>JUMBO</v>
      </c>
      <c r="AD25" t="str">
        <f>VLOOKUP(K25,'restaurant name correction'!$A$1:$B$44,2,0)</f>
        <v>Rasayan</v>
      </c>
      <c r="AE25" t="str">
        <f>VLOOKUP(Z25,restaurant_area_correction!$A$1:$B$18,2,0)</f>
        <v>BTM</v>
      </c>
      <c r="AF25">
        <f t="shared" si="1"/>
        <v>149.99</v>
      </c>
      <c r="AG25" s="11">
        <f t="shared" si="2"/>
        <v>45409</v>
      </c>
      <c r="AH25" s="12">
        <f t="shared" si="3"/>
        <v>0.42355324074014788</v>
      </c>
      <c r="AI25" t="str">
        <f t="shared" si="4"/>
        <v>Saturday</v>
      </c>
      <c r="AJ25" t="str">
        <f>VLOOKUP(HOUR(Orders[[#This Row],[Time]]),$AQ$1:$AR$7,2,1)</f>
        <v>Late Morning</v>
      </c>
      <c r="AK25" t="str">
        <f>IF(Orders[[#This Row],[rain_mode]]=0,"Sunny","Rainy")</f>
        <v>Sunny</v>
      </c>
    </row>
    <row r="26" spans="1:37" x14ac:dyDescent="0.35">
      <c r="A26">
        <v>173162271836174</v>
      </c>
      <c r="B26" t="b">
        <v>0</v>
      </c>
      <c r="C26" t="s">
        <v>42</v>
      </c>
      <c r="D26" t="s">
        <v>42</v>
      </c>
      <c r="E26" t="s">
        <v>193</v>
      </c>
      <c r="F26" t="s">
        <v>194</v>
      </c>
      <c r="G26" t="s">
        <v>32</v>
      </c>
      <c r="H26" t="s">
        <v>195</v>
      </c>
      <c r="I26">
        <v>0</v>
      </c>
      <c r="J26" t="s">
        <v>65</v>
      </c>
      <c r="K26" t="s">
        <v>66</v>
      </c>
      <c r="L26" t="s">
        <v>67</v>
      </c>
      <c r="M26" t="s">
        <v>68</v>
      </c>
      <c r="N26" t="s">
        <v>39</v>
      </c>
      <c r="O26">
        <v>0</v>
      </c>
      <c r="P26">
        <v>646</v>
      </c>
      <c r="Q26">
        <v>646</v>
      </c>
      <c r="R26">
        <v>646</v>
      </c>
      <c r="S26">
        <v>580</v>
      </c>
      <c r="T26">
        <v>43</v>
      </c>
      <c r="U26">
        <v>0</v>
      </c>
      <c r="V26" t="s">
        <v>69</v>
      </c>
      <c r="W26">
        <v>1.9</v>
      </c>
      <c r="X26" t="s">
        <v>42</v>
      </c>
      <c r="Y26" t="s">
        <v>41</v>
      </c>
      <c r="Z26" t="s">
        <v>70</v>
      </c>
      <c r="AA26" t="b">
        <v>0</v>
      </c>
      <c r="AB26">
        <v>0</v>
      </c>
      <c r="AC26" t="str">
        <f t="shared" si="0"/>
        <v>No Coupon Applied</v>
      </c>
      <c r="AD26" t="str">
        <f>VLOOKUP(K26,'restaurant name correction'!$A$1:$B$44,2,0)</f>
        <v>Rasayan</v>
      </c>
      <c r="AE26" t="str">
        <f>VLOOKUP(Z26,restaurant_area_correction!$A$1:$B$18,2,0)</f>
        <v>BTM</v>
      </c>
      <c r="AF26">
        <f t="shared" si="1"/>
        <v>0</v>
      </c>
      <c r="AG26" s="11">
        <f t="shared" si="2"/>
        <v>45409</v>
      </c>
      <c r="AH26" s="12">
        <f t="shared" si="3"/>
        <v>0.42211805555416504</v>
      </c>
      <c r="AI26" t="str">
        <f t="shared" si="4"/>
        <v>Saturday</v>
      </c>
      <c r="AJ26" t="str">
        <f>VLOOKUP(HOUR(Orders[[#This Row],[Time]]),$AQ$1:$AR$7,2,1)</f>
        <v>Late Morning</v>
      </c>
      <c r="AK26" t="str">
        <f>IF(Orders[[#This Row],[rain_mode]]=0,"Sunny","Rainy")</f>
        <v>Sunny</v>
      </c>
    </row>
    <row r="27" spans="1:37" x14ac:dyDescent="0.35">
      <c r="A27">
        <v>173021459533483</v>
      </c>
      <c r="B27" t="b">
        <v>1</v>
      </c>
      <c r="C27" t="s">
        <v>126</v>
      </c>
      <c r="D27" t="s">
        <v>196</v>
      </c>
      <c r="E27" t="s">
        <v>197</v>
      </c>
      <c r="F27" t="s">
        <v>198</v>
      </c>
      <c r="G27" t="s">
        <v>32</v>
      </c>
      <c r="H27" t="s">
        <v>33</v>
      </c>
      <c r="I27" t="s">
        <v>199</v>
      </c>
      <c r="J27" t="s">
        <v>200</v>
      </c>
      <c r="K27" t="s">
        <v>201</v>
      </c>
      <c r="L27" t="s">
        <v>202</v>
      </c>
      <c r="M27" t="s">
        <v>203</v>
      </c>
      <c r="N27" t="s">
        <v>39</v>
      </c>
      <c r="O27">
        <v>1950</v>
      </c>
      <c r="P27">
        <v>208</v>
      </c>
      <c r="Q27">
        <v>208</v>
      </c>
      <c r="R27">
        <v>208</v>
      </c>
      <c r="S27">
        <v>260</v>
      </c>
      <c r="T27">
        <v>40</v>
      </c>
      <c r="U27">
        <v>0</v>
      </c>
      <c r="V27" t="s">
        <v>204</v>
      </c>
      <c r="W27">
        <v>3.3</v>
      </c>
      <c r="X27" t="s">
        <v>126</v>
      </c>
      <c r="Y27" t="s">
        <v>41</v>
      </c>
      <c r="Z27" t="s">
        <v>205</v>
      </c>
      <c r="AA27" t="b">
        <v>1</v>
      </c>
      <c r="AB27">
        <v>0</v>
      </c>
      <c r="AC27" t="str">
        <f t="shared" si="0"/>
        <v>TRYNEW</v>
      </c>
      <c r="AD27" t="str">
        <f>VLOOKUP(K27,'restaurant name correction'!$A$1:$B$44,2,0)</f>
        <v>Chowman</v>
      </c>
      <c r="AE27" t="str">
        <f>VLOOKUP(Z27,restaurant_area_correction!$A$1:$B$18,2,0)</f>
        <v>Bellandur</v>
      </c>
      <c r="AF27">
        <f t="shared" si="1"/>
        <v>75</v>
      </c>
      <c r="AG27" s="11">
        <f t="shared" si="2"/>
        <v>45407</v>
      </c>
      <c r="AH27" s="12">
        <f t="shared" si="3"/>
        <v>0.79234953703416977</v>
      </c>
      <c r="AI27" t="str">
        <f t="shared" si="4"/>
        <v>Thursday</v>
      </c>
      <c r="AJ27" t="str">
        <f>VLOOKUP(HOUR(Orders[[#This Row],[Time]]),$AQ$1:$AR$7,2,1)</f>
        <v>Evening</v>
      </c>
      <c r="AK27" t="str">
        <f>IF(Orders[[#This Row],[rain_mode]]=0,"Sunny","Rainy")</f>
        <v>Sunny</v>
      </c>
    </row>
    <row r="28" spans="1:37" x14ac:dyDescent="0.35">
      <c r="A28">
        <v>172937451496694</v>
      </c>
      <c r="B28" t="b">
        <v>1</v>
      </c>
      <c r="C28" t="s">
        <v>50</v>
      </c>
      <c r="D28" t="s">
        <v>206</v>
      </c>
      <c r="E28" t="s">
        <v>207</v>
      </c>
      <c r="F28" t="s">
        <v>208</v>
      </c>
      <c r="G28" t="s">
        <v>32</v>
      </c>
      <c r="H28" t="s">
        <v>33</v>
      </c>
      <c r="I28" t="s">
        <v>209</v>
      </c>
      <c r="J28" t="s">
        <v>210</v>
      </c>
      <c r="K28" t="s">
        <v>36</v>
      </c>
      <c r="L28" t="s">
        <v>211</v>
      </c>
      <c r="M28" t="s">
        <v>212</v>
      </c>
      <c r="N28" t="s">
        <v>39</v>
      </c>
      <c r="O28">
        <v>2384</v>
      </c>
      <c r="P28">
        <v>344</v>
      </c>
      <c r="Q28">
        <v>344</v>
      </c>
      <c r="R28">
        <v>344</v>
      </c>
      <c r="S28">
        <v>395</v>
      </c>
      <c r="T28">
        <v>61</v>
      </c>
      <c r="U28">
        <v>0</v>
      </c>
      <c r="V28" t="s">
        <v>213</v>
      </c>
      <c r="W28">
        <v>5.4</v>
      </c>
      <c r="X28" t="s">
        <v>50</v>
      </c>
      <c r="Y28" t="s">
        <v>41</v>
      </c>
      <c r="Z28" t="s">
        <v>214</v>
      </c>
      <c r="AA28" t="b">
        <v>1</v>
      </c>
      <c r="AB28">
        <v>0</v>
      </c>
      <c r="AC28" t="str">
        <f t="shared" si="0"/>
        <v>MISSEDYOU</v>
      </c>
      <c r="AD28" t="str">
        <f>VLOOKUP(K28,'restaurant name correction'!$A$1:$B$44,2,0)</f>
        <v xml:space="preserve">Paris Panini </v>
      </c>
      <c r="AE28" t="str">
        <f>VLOOKUP(Z28,restaurant_area_correction!$A$1:$B$18,2,0)</f>
        <v>Bellandur</v>
      </c>
      <c r="AF28">
        <f t="shared" si="1"/>
        <v>100</v>
      </c>
      <c r="AG28" s="11">
        <f t="shared" si="2"/>
        <v>45406</v>
      </c>
      <c r="AH28" s="12">
        <f t="shared" si="3"/>
        <v>0.82003472222277196</v>
      </c>
      <c r="AI28" t="str">
        <f t="shared" si="4"/>
        <v>Wednesday</v>
      </c>
      <c r="AJ28" t="str">
        <f>VLOOKUP(HOUR(Orders[[#This Row],[Time]]),$AQ$1:$AR$7,2,1)</f>
        <v>Evening</v>
      </c>
      <c r="AK28" t="str">
        <f>IF(Orders[[#This Row],[rain_mode]]=0,"Sunny","Rainy")</f>
        <v>Sunny</v>
      </c>
    </row>
    <row r="29" spans="1:37" x14ac:dyDescent="0.35">
      <c r="A29">
        <v>172865582370674</v>
      </c>
      <c r="B29" t="b">
        <v>1</v>
      </c>
      <c r="C29" t="s">
        <v>28</v>
      </c>
      <c r="D29" t="s">
        <v>215</v>
      </c>
      <c r="E29" t="s">
        <v>216</v>
      </c>
      <c r="F29" t="s">
        <v>217</v>
      </c>
      <c r="G29" t="s">
        <v>32</v>
      </c>
      <c r="H29" t="s">
        <v>33</v>
      </c>
      <c r="I29" t="s">
        <v>218</v>
      </c>
      <c r="J29" t="s">
        <v>219</v>
      </c>
      <c r="K29" t="s">
        <v>220</v>
      </c>
      <c r="L29" t="s">
        <v>221</v>
      </c>
      <c r="M29" t="s">
        <v>114</v>
      </c>
      <c r="N29" t="s">
        <v>39</v>
      </c>
      <c r="O29">
        <v>1985</v>
      </c>
      <c r="P29">
        <v>301</v>
      </c>
      <c r="Q29">
        <v>301</v>
      </c>
      <c r="R29">
        <v>301</v>
      </c>
      <c r="S29">
        <v>289</v>
      </c>
      <c r="T29">
        <v>50</v>
      </c>
      <c r="U29">
        <v>0</v>
      </c>
      <c r="V29" t="s">
        <v>222</v>
      </c>
      <c r="W29">
        <v>1.7</v>
      </c>
      <c r="X29" t="s">
        <v>28</v>
      </c>
      <c r="Y29" t="s">
        <v>41</v>
      </c>
      <c r="Z29" t="s">
        <v>114</v>
      </c>
      <c r="AA29" t="b">
        <v>1</v>
      </c>
      <c r="AB29">
        <v>0</v>
      </c>
      <c r="AC29" t="str">
        <f t="shared" si="0"/>
        <v>SWIGGYIT</v>
      </c>
      <c r="AD29" t="str">
        <f>VLOOKUP(K29,'restaurant name correction'!$A$1:$B$44,2,0)</f>
        <v xml:space="preserve">Frozen Bottle </v>
      </c>
      <c r="AE29" t="str">
        <f>VLOOKUP(Z29,restaurant_area_correction!$A$1:$B$18,2,0)</f>
        <v>HSR</v>
      </c>
      <c r="AF29">
        <f t="shared" si="1"/>
        <v>50</v>
      </c>
      <c r="AG29" s="11">
        <f t="shared" si="2"/>
        <v>45405</v>
      </c>
      <c r="AH29" s="12">
        <f t="shared" si="3"/>
        <v>0.98821759259590181</v>
      </c>
      <c r="AI29" t="str">
        <f t="shared" si="4"/>
        <v>Tuesday</v>
      </c>
      <c r="AJ29" t="str">
        <f>VLOOKUP(HOUR(Orders[[#This Row],[Time]]),$AQ$1:$AR$7,2,1)</f>
        <v>Night</v>
      </c>
      <c r="AK29" t="str">
        <f>IF(Orders[[#This Row],[rain_mode]]=0,"Sunny","Rainy")</f>
        <v>Sunny</v>
      </c>
    </row>
    <row r="30" spans="1:37" x14ac:dyDescent="0.35">
      <c r="A30">
        <v>172849812190412</v>
      </c>
      <c r="B30" t="b">
        <v>1</v>
      </c>
      <c r="C30" t="s">
        <v>126</v>
      </c>
      <c r="D30" t="s">
        <v>223</v>
      </c>
      <c r="E30" t="s">
        <v>224</v>
      </c>
      <c r="F30" t="s">
        <v>225</v>
      </c>
      <c r="G30" t="s">
        <v>32</v>
      </c>
      <c r="H30" t="s">
        <v>33</v>
      </c>
      <c r="I30" t="s">
        <v>226</v>
      </c>
      <c r="J30" t="s">
        <v>227</v>
      </c>
      <c r="K30" t="s">
        <v>77</v>
      </c>
      <c r="L30" t="s">
        <v>228</v>
      </c>
      <c r="M30" t="s">
        <v>229</v>
      </c>
      <c r="N30" t="s">
        <v>39</v>
      </c>
      <c r="O30">
        <v>1375</v>
      </c>
      <c r="P30">
        <v>310</v>
      </c>
      <c r="Q30">
        <v>310</v>
      </c>
      <c r="R30">
        <v>310</v>
      </c>
      <c r="S30">
        <v>325</v>
      </c>
      <c r="T30">
        <v>35</v>
      </c>
      <c r="U30">
        <v>0</v>
      </c>
      <c r="V30" t="s">
        <v>230</v>
      </c>
      <c r="W30">
        <v>0.8</v>
      </c>
      <c r="X30" t="s">
        <v>126</v>
      </c>
      <c r="Y30" t="s">
        <v>41</v>
      </c>
      <c r="Z30" t="s">
        <v>114</v>
      </c>
      <c r="AA30" t="b">
        <v>0</v>
      </c>
      <c r="AB30">
        <v>0</v>
      </c>
      <c r="AC30" t="str">
        <f t="shared" si="0"/>
        <v>TRYNEW</v>
      </c>
      <c r="AD30" t="str">
        <f>VLOOKUP(K30,'restaurant name correction'!$A$1:$B$44,2,0)</f>
        <v>Firangi Bake</v>
      </c>
      <c r="AE30" t="str">
        <f>VLOOKUP(Z30,restaurant_area_correction!$A$1:$B$18,2,0)</f>
        <v>HSR</v>
      </c>
      <c r="AF30">
        <f t="shared" si="1"/>
        <v>60</v>
      </c>
      <c r="AG30" s="11">
        <f t="shared" si="2"/>
        <v>45405</v>
      </c>
      <c r="AH30" s="12">
        <f t="shared" si="3"/>
        <v>0.80569444444699911</v>
      </c>
      <c r="AI30" t="str">
        <f t="shared" si="4"/>
        <v>Tuesday</v>
      </c>
      <c r="AJ30" t="str">
        <f>VLOOKUP(HOUR(Orders[[#This Row],[Time]]),$AQ$1:$AR$7,2,1)</f>
        <v>Evening</v>
      </c>
      <c r="AK30" t="str">
        <f>IF(Orders[[#This Row],[rain_mode]]=0,"Sunny","Rainy")</f>
        <v>Sunny</v>
      </c>
    </row>
    <row r="31" spans="1:37" x14ac:dyDescent="0.35">
      <c r="A31">
        <v>172765721740638</v>
      </c>
      <c r="B31" t="b">
        <v>1</v>
      </c>
      <c r="C31" t="s">
        <v>82</v>
      </c>
      <c r="D31" t="s">
        <v>231</v>
      </c>
      <c r="E31" t="s">
        <v>232</v>
      </c>
      <c r="F31" t="s">
        <v>233</v>
      </c>
      <c r="G31" t="s">
        <v>32</v>
      </c>
      <c r="H31" t="s">
        <v>33</v>
      </c>
      <c r="I31" t="s">
        <v>234</v>
      </c>
      <c r="J31" t="s">
        <v>235</v>
      </c>
      <c r="K31" t="s">
        <v>236</v>
      </c>
      <c r="L31" t="s">
        <v>237</v>
      </c>
      <c r="M31" t="s">
        <v>114</v>
      </c>
      <c r="N31" t="s">
        <v>39</v>
      </c>
      <c r="O31">
        <v>1703</v>
      </c>
      <c r="P31">
        <v>724</v>
      </c>
      <c r="Q31">
        <v>724</v>
      </c>
      <c r="R31">
        <v>724</v>
      </c>
      <c r="S31">
        <v>797.57</v>
      </c>
      <c r="T31">
        <v>35</v>
      </c>
      <c r="U31">
        <v>0</v>
      </c>
      <c r="V31" t="s">
        <v>238</v>
      </c>
      <c r="W31">
        <v>1.6</v>
      </c>
      <c r="X31" t="s">
        <v>82</v>
      </c>
      <c r="Y31" t="s">
        <v>41</v>
      </c>
      <c r="Z31" t="s">
        <v>114</v>
      </c>
      <c r="AA31" t="b">
        <v>0</v>
      </c>
      <c r="AB31">
        <v>0</v>
      </c>
      <c r="AC31" t="str">
        <f t="shared" si="0"/>
        <v>MDM150</v>
      </c>
      <c r="AD31" t="str">
        <f>VLOOKUP(K31,'restaurant name correction'!$A$1:$B$44,2,0)</f>
        <v xml:space="preserve">Leon's </v>
      </c>
      <c r="AE31" t="str">
        <f>VLOOKUP(Z31,restaurant_area_correction!$A$1:$B$18,2,0)</f>
        <v>HSR</v>
      </c>
      <c r="AF31">
        <f t="shared" si="1"/>
        <v>150</v>
      </c>
      <c r="AG31" s="11">
        <f t="shared" si="2"/>
        <v>45404</v>
      </c>
      <c r="AH31" s="12">
        <f t="shared" si="3"/>
        <v>0.83241898148116888</v>
      </c>
      <c r="AI31" t="str">
        <f t="shared" si="4"/>
        <v>Monday</v>
      </c>
      <c r="AJ31" t="str">
        <f>VLOOKUP(HOUR(Orders[[#This Row],[Time]]),$AQ$1:$AR$7,2,1)</f>
        <v>Evening</v>
      </c>
      <c r="AK31" t="str">
        <f>IF(Orders[[#This Row],[rain_mode]]=0,"Sunny","Rainy")</f>
        <v>Sunny</v>
      </c>
    </row>
    <row r="32" spans="1:37" x14ac:dyDescent="0.35">
      <c r="A32">
        <v>172415621290914</v>
      </c>
      <c r="B32" t="b">
        <v>1</v>
      </c>
      <c r="C32" t="s">
        <v>82</v>
      </c>
      <c r="D32" t="s">
        <v>239</v>
      </c>
      <c r="E32" t="s">
        <v>240</v>
      </c>
      <c r="F32" t="s">
        <v>241</v>
      </c>
      <c r="G32" t="s">
        <v>32</v>
      </c>
      <c r="H32" t="s">
        <v>33</v>
      </c>
      <c r="I32" t="s">
        <v>242</v>
      </c>
      <c r="J32" t="s">
        <v>235</v>
      </c>
      <c r="K32" t="s">
        <v>236</v>
      </c>
      <c r="L32" t="s">
        <v>237</v>
      </c>
      <c r="M32" t="s">
        <v>114</v>
      </c>
      <c r="N32" t="s">
        <v>39</v>
      </c>
      <c r="O32">
        <v>1726</v>
      </c>
      <c r="P32">
        <v>252</v>
      </c>
      <c r="Q32">
        <v>252</v>
      </c>
      <c r="R32">
        <v>252</v>
      </c>
      <c r="S32">
        <v>349</v>
      </c>
      <c r="T32">
        <v>31</v>
      </c>
      <c r="U32">
        <v>0</v>
      </c>
      <c r="V32" t="s">
        <v>238</v>
      </c>
      <c r="W32">
        <v>0.9</v>
      </c>
      <c r="X32" t="s">
        <v>82</v>
      </c>
      <c r="Y32" t="s">
        <v>41</v>
      </c>
      <c r="Z32" t="s">
        <v>114</v>
      </c>
      <c r="AA32" t="b">
        <v>1</v>
      </c>
      <c r="AB32">
        <v>0</v>
      </c>
      <c r="AC32" t="str">
        <f t="shared" si="0"/>
        <v>MDM150</v>
      </c>
      <c r="AD32" t="str">
        <f>VLOOKUP(K32,'restaurant name correction'!$A$1:$B$44,2,0)</f>
        <v xml:space="preserve">Leon's </v>
      </c>
      <c r="AE32" t="str">
        <f>VLOOKUP(Z32,restaurant_area_correction!$A$1:$B$18,2,0)</f>
        <v>HSR</v>
      </c>
      <c r="AF32">
        <f t="shared" si="1"/>
        <v>150</v>
      </c>
      <c r="AG32" s="11">
        <f t="shared" si="2"/>
        <v>45400</v>
      </c>
      <c r="AH32" s="12">
        <f t="shared" si="3"/>
        <v>0.78033564814541023</v>
      </c>
      <c r="AI32" t="str">
        <f t="shared" si="4"/>
        <v>Thursday</v>
      </c>
      <c r="AJ32" t="str">
        <f>VLOOKUP(HOUR(Orders[[#This Row],[Time]]),$AQ$1:$AR$7,2,1)</f>
        <v>Evening</v>
      </c>
      <c r="AK32" t="str">
        <f>IF(Orders[[#This Row],[rain_mode]]=0,"Sunny","Rainy")</f>
        <v>Sunny</v>
      </c>
    </row>
    <row r="33" spans="1:37" x14ac:dyDescent="0.35">
      <c r="A33">
        <v>171120236353593</v>
      </c>
      <c r="B33" t="b">
        <v>1</v>
      </c>
      <c r="C33" t="s">
        <v>82</v>
      </c>
      <c r="D33" t="s">
        <v>239</v>
      </c>
      <c r="E33" t="s">
        <v>243</v>
      </c>
      <c r="F33" t="s">
        <v>244</v>
      </c>
      <c r="G33" t="s">
        <v>32</v>
      </c>
      <c r="H33" t="s">
        <v>33</v>
      </c>
      <c r="I33" t="s">
        <v>245</v>
      </c>
      <c r="J33" t="s">
        <v>235</v>
      </c>
      <c r="K33" t="s">
        <v>236</v>
      </c>
      <c r="L33" t="s">
        <v>237</v>
      </c>
      <c r="M33" t="s">
        <v>114</v>
      </c>
      <c r="N33" t="s">
        <v>39</v>
      </c>
      <c r="O33">
        <v>836</v>
      </c>
      <c r="P33">
        <v>252</v>
      </c>
      <c r="Q33">
        <v>252</v>
      </c>
      <c r="R33">
        <v>252</v>
      </c>
      <c r="S33">
        <v>349</v>
      </c>
      <c r="T33">
        <v>29</v>
      </c>
      <c r="U33">
        <v>0</v>
      </c>
      <c r="V33" t="s">
        <v>238</v>
      </c>
      <c r="W33">
        <v>0.2</v>
      </c>
      <c r="X33" t="s">
        <v>82</v>
      </c>
      <c r="Y33" t="s">
        <v>41</v>
      </c>
      <c r="Z33" t="s">
        <v>114</v>
      </c>
      <c r="AA33" t="b">
        <v>1</v>
      </c>
      <c r="AB33">
        <v>0</v>
      </c>
      <c r="AC33" t="str">
        <f t="shared" si="0"/>
        <v>MDM150</v>
      </c>
      <c r="AD33" t="str">
        <f>VLOOKUP(K33,'restaurant name correction'!$A$1:$B$44,2,0)</f>
        <v xml:space="preserve">Leon's </v>
      </c>
      <c r="AE33" t="str">
        <f>VLOOKUP(Z33,restaurant_area_correction!$A$1:$B$18,2,0)</f>
        <v>HSR</v>
      </c>
      <c r="AF33">
        <f t="shared" si="1"/>
        <v>150</v>
      </c>
      <c r="AG33" s="11">
        <f t="shared" si="2"/>
        <v>45385</v>
      </c>
      <c r="AH33" s="12">
        <f t="shared" si="3"/>
        <v>0.78745370370597811</v>
      </c>
      <c r="AI33" t="str">
        <f t="shared" si="4"/>
        <v>Wednesday</v>
      </c>
      <c r="AJ33" t="str">
        <f>VLOOKUP(HOUR(Orders[[#This Row],[Time]]),$AQ$1:$AR$7,2,1)</f>
        <v>Evening</v>
      </c>
      <c r="AK33" t="str">
        <f>IF(Orders[[#This Row],[rain_mode]]=0,"Sunny","Rainy")</f>
        <v>Sunny</v>
      </c>
    </row>
    <row r="34" spans="1:37" x14ac:dyDescent="0.35">
      <c r="A34">
        <v>170949181342493</v>
      </c>
      <c r="B34" t="b">
        <v>1</v>
      </c>
      <c r="C34" t="s">
        <v>82</v>
      </c>
      <c r="D34" t="s">
        <v>239</v>
      </c>
      <c r="E34" t="s">
        <v>246</v>
      </c>
      <c r="F34" t="s">
        <v>247</v>
      </c>
      <c r="G34" t="s">
        <v>32</v>
      </c>
      <c r="H34" t="s">
        <v>33</v>
      </c>
      <c r="I34" t="s">
        <v>248</v>
      </c>
      <c r="J34" t="s">
        <v>235</v>
      </c>
      <c r="K34" t="s">
        <v>236</v>
      </c>
      <c r="L34" t="s">
        <v>237</v>
      </c>
      <c r="M34" t="s">
        <v>114</v>
      </c>
      <c r="N34" t="s">
        <v>39</v>
      </c>
      <c r="O34">
        <v>2224</v>
      </c>
      <c r="P34">
        <v>252</v>
      </c>
      <c r="Q34">
        <v>252</v>
      </c>
      <c r="R34">
        <v>252</v>
      </c>
      <c r="S34">
        <v>349</v>
      </c>
      <c r="T34">
        <v>34</v>
      </c>
      <c r="U34">
        <v>0</v>
      </c>
      <c r="V34" t="s">
        <v>238</v>
      </c>
      <c r="W34">
        <v>1.6</v>
      </c>
      <c r="X34" t="s">
        <v>82</v>
      </c>
      <c r="Y34" t="s">
        <v>92</v>
      </c>
      <c r="Z34" t="s">
        <v>114</v>
      </c>
      <c r="AA34" t="b">
        <v>0</v>
      </c>
      <c r="AB34">
        <v>0</v>
      </c>
      <c r="AC34" t="str">
        <f t="shared" si="0"/>
        <v>MDM150</v>
      </c>
      <c r="AD34" t="str">
        <f>VLOOKUP(K34,'restaurant name correction'!$A$1:$B$44,2,0)</f>
        <v xml:space="preserve">Leon's </v>
      </c>
      <c r="AE34" t="str">
        <f>VLOOKUP(Z34,restaurant_area_correction!$A$1:$B$18,2,0)</f>
        <v>HSR</v>
      </c>
      <c r="AF34">
        <f t="shared" si="1"/>
        <v>150</v>
      </c>
      <c r="AG34" s="11">
        <f t="shared" si="2"/>
        <v>45383</v>
      </c>
      <c r="AH34" s="12">
        <f t="shared" si="3"/>
        <v>0.80765046296437504</v>
      </c>
      <c r="AI34" t="str">
        <f t="shared" si="4"/>
        <v>Monday</v>
      </c>
      <c r="AJ34" t="str">
        <f>VLOOKUP(HOUR(Orders[[#This Row],[Time]]),$AQ$1:$AR$7,2,1)</f>
        <v>Evening</v>
      </c>
      <c r="AK34" t="str">
        <f>IF(Orders[[#This Row],[rain_mode]]=0,"Sunny","Rainy")</f>
        <v>Sunny</v>
      </c>
    </row>
    <row r="35" spans="1:37" x14ac:dyDescent="0.35">
      <c r="A35">
        <v>170849767634192</v>
      </c>
      <c r="B35" t="b">
        <v>1</v>
      </c>
      <c r="C35" t="s">
        <v>82</v>
      </c>
      <c r="D35" t="s">
        <v>239</v>
      </c>
      <c r="E35" t="s">
        <v>249</v>
      </c>
      <c r="F35" t="s">
        <v>250</v>
      </c>
      <c r="G35" t="s">
        <v>32</v>
      </c>
      <c r="H35" t="s">
        <v>33</v>
      </c>
      <c r="I35" t="s">
        <v>251</v>
      </c>
      <c r="J35" t="s">
        <v>235</v>
      </c>
      <c r="K35" t="s">
        <v>236</v>
      </c>
      <c r="L35" t="s">
        <v>237</v>
      </c>
      <c r="M35" t="s">
        <v>114</v>
      </c>
      <c r="N35" t="s">
        <v>39</v>
      </c>
      <c r="O35">
        <v>854</v>
      </c>
      <c r="P35">
        <v>252</v>
      </c>
      <c r="Q35">
        <v>252</v>
      </c>
      <c r="R35">
        <v>252</v>
      </c>
      <c r="S35">
        <v>349</v>
      </c>
      <c r="T35">
        <v>30</v>
      </c>
      <c r="U35">
        <v>0</v>
      </c>
      <c r="V35" t="s">
        <v>238</v>
      </c>
      <c r="W35">
        <v>1.6</v>
      </c>
      <c r="X35" t="s">
        <v>82</v>
      </c>
      <c r="Y35" t="s">
        <v>41</v>
      </c>
      <c r="Z35" t="s">
        <v>114</v>
      </c>
      <c r="AA35" t="b">
        <v>1</v>
      </c>
      <c r="AB35">
        <v>0</v>
      </c>
      <c r="AC35" t="str">
        <f t="shared" si="0"/>
        <v>MDM150</v>
      </c>
      <c r="AD35" t="str">
        <f>VLOOKUP(K35,'restaurant name correction'!$A$1:$B$44,2,0)</f>
        <v xml:space="preserve">Leon's </v>
      </c>
      <c r="AE35" t="str">
        <f>VLOOKUP(Z35,restaurant_area_correction!$A$1:$B$18,2,0)</f>
        <v>HSR</v>
      </c>
      <c r="AF35">
        <f t="shared" si="1"/>
        <v>150</v>
      </c>
      <c r="AG35" s="11">
        <f t="shared" si="2"/>
        <v>45382</v>
      </c>
      <c r="AH35" s="12">
        <f t="shared" si="3"/>
        <v>0.65702546296233777</v>
      </c>
      <c r="AI35" t="str">
        <f t="shared" si="4"/>
        <v>Sunday</v>
      </c>
      <c r="AJ35" t="str">
        <f>VLOOKUP(HOUR(Orders[[#This Row],[Time]]),$AQ$1:$AR$7,2,1)</f>
        <v>Afternoon</v>
      </c>
      <c r="AK35" t="str">
        <f>IF(Orders[[#This Row],[rain_mode]]=0,"Sunny","Rainy")</f>
        <v>Sunny</v>
      </c>
    </row>
    <row r="36" spans="1:37" x14ac:dyDescent="0.35">
      <c r="A36">
        <v>170326417874188</v>
      </c>
      <c r="B36" t="b">
        <v>1</v>
      </c>
      <c r="C36" t="s">
        <v>28</v>
      </c>
      <c r="D36" t="s">
        <v>252</v>
      </c>
      <c r="E36" t="s">
        <v>253</v>
      </c>
      <c r="F36" t="s">
        <v>254</v>
      </c>
      <c r="G36" t="s">
        <v>32</v>
      </c>
      <c r="H36" t="s">
        <v>33</v>
      </c>
      <c r="I36" t="s">
        <v>255</v>
      </c>
      <c r="J36" t="s">
        <v>256</v>
      </c>
      <c r="K36" t="s">
        <v>257</v>
      </c>
      <c r="L36" t="s">
        <v>258</v>
      </c>
      <c r="M36" t="s">
        <v>112</v>
      </c>
      <c r="N36" t="s">
        <v>39</v>
      </c>
      <c r="O36">
        <v>779</v>
      </c>
      <c r="P36">
        <v>252</v>
      </c>
      <c r="Q36">
        <v>252</v>
      </c>
      <c r="R36">
        <v>252</v>
      </c>
      <c r="S36">
        <v>300</v>
      </c>
      <c r="T36">
        <v>32</v>
      </c>
      <c r="U36">
        <v>0</v>
      </c>
      <c r="V36" t="s">
        <v>259</v>
      </c>
      <c r="W36">
        <v>0.6</v>
      </c>
      <c r="X36" t="s">
        <v>28</v>
      </c>
      <c r="Y36" t="s">
        <v>41</v>
      </c>
      <c r="Z36" t="s">
        <v>260</v>
      </c>
      <c r="AA36" t="b">
        <v>1</v>
      </c>
      <c r="AB36">
        <v>0</v>
      </c>
      <c r="AC36" t="str">
        <f t="shared" si="0"/>
        <v>SWIGGYIT</v>
      </c>
      <c r="AD36" t="str">
        <f>VLOOKUP(K36,'restaurant name correction'!$A$1:$B$44,2,0)</f>
        <v>Subway</v>
      </c>
      <c r="AE36" t="str">
        <f>VLOOKUP(Z36,restaurant_area_correction!$A$1:$B$18,2,0)</f>
        <v>HSR</v>
      </c>
      <c r="AF36">
        <f t="shared" si="1"/>
        <v>80</v>
      </c>
      <c r="AG36" s="11">
        <f t="shared" si="2"/>
        <v>45376</v>
      </c>
      <c r="AH36" s="12">
        <f t="shared" si="3"/>
        <v>0.59973379629809642</v>
      </c>
      <c r="AI36" t="str">
        <f t="shared" si="4"/>
        <v>Monday</v>
      </c>
      <c r="AJ36" t="str">
        <f>VLOOKUP(HOUR(Orders[[#This Row],[Time]]),$AQ$1:$AR$7,2,1)</f>
        <v>Afternoon</v>
      </c>
      <c r="AK36" t="str">
        <f>IF(Orders[[#This Row],[rain_mode]]=0,"Sunny","Rainy")</f>
        <v>Sunny</v>
      </c>
    </row>
    <row r="37" spans="1:37" x14ac:dyDescent="0.35">
      <c r="A37">
        <v>169997934599848</v>
      </c>
      <c r="B37" t="b">
        <v>1</v>
      </c>
      <c r="C37" t="s">
        <v>261</v>
      </c>
      <c r="D37" t="s">
        <v>262</v>
      </c>
      <c r="E37" t="s">
        <v>263</v>
      </c>
      <c r="F37" t="s">
        <v>264</v>
      </c>
      <c r="G37" t="s">
        <v>32</v>
      </c>
      <c r="H37" t="s">
        <v>33</v>
      </c>
      <c r="I37" t="s">
        <v>265</v>
      </c>
      <c r="J37" t="s">
        <v>256</v>
      </c>
      <c r="K37" t="s">
        <v>257</v>
      </c>
      <c r="L37" t="s">
        <v>258</v>
      </c>
      <c r="M37" t="s">
        <v>112</v>
      </c>
      <c r="N37" t="s">
        <v>39</v>
      </c>
      <c r="O37">
        <v>2901</v>
      </c>
      <c r="P37">
        <v>596</v>
      </c>
      <c r="Q37">
        <v>596</v>
      </c>
      <c r="R37">
        <v>596</v>
      </c>
      <c r="S37">
        <v>649</v>
      </c>
      <c r="T37">
        <v>34</v>
      </c>
      <c r="U37">
        <v>0</v>
      </c>
      <c r="V37" t="s">
        <v>259</v>
      </c>
      <c r="W37">
        <v>1.9</v>
      </c>
      <c r="X37" t="s">
        <v>261</v>
      </c>
      <c r="Y37" t="s">
        <v>41</v>
      </c>
      <c r="Z37" t="s">
        <v>260</v>
      </c>
      <c r="AA37" t="b">
        <v>0</v>
      </c>
      <c r="AB37">
        <v>0</v>
      </c>
      <c r="AC37" t="str">
        <f t="shared" si="0"/>
        <v>FLATDEAL</v>
      </c>
      <c r="AD37" t="str">
        <f>VLOOKUP(K37,'restaurant name correction'!$A$1:$B$44,2,0)</f>
        <v>Subway</v>
      </c>
      <c r="AE37" t="str">
        <f>VLOOKUP(Z37,restaurant_area_correction!$A$1:$B$18,2,0)</f>
        <v>HSR</v>
      </c>
      <c r="AF37">
        <f t="shared" si="1"/>
        <v>99.99</v>
      </c>
      <c r="AG37" s="11">
        <f t="shared" si="2"/>
        <v>45372</v>
      </c>
      <c r="AH37" s="12">
        <f t="shared" si="3"/>
        <v>0.79784722222393611</v>
      </c>
      <c r="AI37" t="str">
        <f t="shared" si="4"/>
        <v>Thursday</v>
      </c>
      <c r="AJ37" t="str">
        <f>VLOOKUP(HOUR(Orders[[#This Row],[Time]]),$AQ$1:$AR$7,2,1)</f>
        <v>Evening</v>
      </c>
      <c r="AK37" t="str">
        <f>IF(Orders[[#This Row],[rain_mode]]=0,"Sunny","Rainy")</f>
        <v>Sunny</v>
      </c>
    </row>
    <row r="38" spans="1:37" x14ac:dyDescent="0.35">
      <c r="A38">
        <v>169054716176265</v>
      </c>
      <c r="B38" t="b">
        <v>1</v>
      </c>
      <c r="C38" t="s">
        <v>28</v>
      </c>
      <c r="D38" t="s">
        <v>266</v>
      </c>
      <c r="E38" t="s">
        <v>267</v>
      </c>
      <c r="F38" t="s">
        <v>268</v>
      </c>
      <c r="G38" t="s">
        <v>32</v>
      </c>
      <c r="H38" t="s">
        <v>33</v>
      </c>
      <c r="I38" t="s">
        <v>269</v>
      </c>
      <c r="J38" t="s">
        <v>256</v>
      </c>
      <c r="K38" t="s">
        <v>257</v>
      </c>
      <c r="L38" t="s">
        <v>258</v>
      </c>
      <c r="M38" t="s">
        <v>112</v>
      </c>
      <c r="N38" t="s">
        <v>39</v>
      </c>
      <c r="O38">
        <v>4130</v>
      </c>
      <c r="P38">
        <v>251</v>
      </c>
      <c r="Q38">
        <v>251</v>
      </c>
      <c r="R38">
        <v>251</v>
      </c>
      <c r="S38">
        <v>300</v>
      </c>
      <c r="T38">
        <v>57</v>
      </c>
      <c r="U38">
        <v>0</v>
      </c>
      <c r="V38" t="s">
        <v>259</v>
      </c>
      <c r="W38">
        <v>1.9</v>
      </c>
      <c r="X38" t="s">
        <v>28</v>
      </c>
      <c r="Y38" t="s">
        <v>41</v>
      </c>
      <c r="Z38" t="s">
        <v>260</v>
      </c>
      <c r="AA38" t="b">
        <v>0</v>
      </c>
      <c r="AB38">
        <v>0</v>
      </c>
      <c r="AC38" t="str">
        <f t="shared" si="0"/>
        <v>SWIGGYIT</v>
      </c>
      <c r="AD38" t="str">
        <f>VLOOKUP(K38,'restaurant name correction'!$A$1:$B$44,2,0)</f>
        <v>Subway</v>
      </c>
      <c r="AE38" t="str">
        <f>VLOOKUP(Z38,restaurant_area_correction!$A$1:$B$18,2,0)</f>
        <v>HSR</v>
      </c>
      <c r="AF38">
        <f t="shared" si="1"/>
        <v>80</v>
      </c>
      <c r="AG38" s="11">
        <f t="shared" si="2"/>
        <v>45361</v>
      </c>
      <c r="AH38" s="12">
        <f t="shared" si="3"/>
        <v>0.88097222222131677</v>
      </c>
      <c r="AI38" t="str">
        <f t="shared" si="4"/>
        <v>Sunday</v>
      </c>
      <c r="AJ38" t="str">
        <f>VLOOKUP(HOUR(Orders[[#This Row],[Time]]),$AQ$1:$AR$7,2,1)</f>
        <v>Night</v>
      </c>
      <c r="AK38" t="str">
        <f>IF(Orders[[#This Row],[rain_mode]]=0,"Sunny","Rainy")</f>
        <v>Sunny</v>
      </c>
    </row>
    <row r="39" spans="1:37" x14ac:dyDescent="0.35">
      <c r="A39">
        <v>168959031219038</v>
      </c>
      <c r="B39" t="b">
        <v>1</v>
      </c>
      <c r="C39" t="s">
        <v>28</v>
      </c>
      <c r="D39" t="s">
        <v>266</v>
      </c>
      <c r="E39" t="s">
        <v>270</v>
      </c>
      <c r="F39" t="s">
        <v>271</v>
      </c>
      <c r="G39" t="s">
        <v>32</v>
      </c>
      <c r="H39" t="s">
        <v>33</v>
      </c>
      <c r="I39" t="s">
        <v>272</v>
      </c>
      <c r="J39" t="s">
        <v>256</v>
      </c>
      <c r="K39" t="s">
        <v>257</v>
      </c>
      <c r="L39" t="s">
        <v>258</v>
      </c>
      <c r="M39" t="s">
        <v>112</v>
      </c>
      <c r="N39" t="s">
        <v>39</v>
      </c>
      <c r="O39">
        <v>864</v>
      </c>
      <c r="P39">
        <v>302</v>
      </c>
      <c r="Q39">
        <v>302</v>
      </c>
      <c r="R39">
        <v>302</v>
      </c>
      <c r="S39">
        <v>349</v>
      </c>
      <c r="T39">
        <v>32</v>
      </c>
      <c r="U39">
        <v>0</v>
      </c>
      <c r="V39" t="s">
        <v>259</v>
      </c>
      <c r="W39">
        <v>1.9</v>
      </c>
      <c r="X39" t="s">
        <v>28</v>
      </c>
      <c r="Y39" t="s">
        <v>41</v>
      </c>
      <c r="Z39" t="s">
        <v>260</v>
      </c>
      <c r="AA39" t="b">
        <v>1</v>
      </c>
      <c r="AB39">
        <v>0</v>
      </c>
      <c r="AC39" t="str">
        <f t="shared" si="0"/>
        <v>SWIGGYIT</v>
      </c>
      <c r="AD39" t="str">
        <f>VLOOKUP(K39,'restaurant name correction'!$A$1:$B$44,2,0)</f>
        <v>Subway</v>
      </c>
      <c r="AE39" t="str">
        <f>VLOOKUP(Z39,restaurant_area_correction!$A$1:$B$18,2,0)</f>
        <v>HSR</v>
      </c>
      <c r="AF39">
        <f t="shared" si="1"/>
        <v>80</v>
      </c>
      <c r="AG39" s="11">
        <f t="shared" si="2"/>
        <v>45360</v>
      </c>
      <c r="AH39" s="12">
        <f t="shared" si="3"/>
        <v>0.773506944446126</v>
      </c>
      <c r="AI39" t="str">
        <f t="shared" si="4"/>
        <v>Saturday</v>
      </c>
      <c r="AJ39" t="str">
        <f>VLOOKUP(HOUR(Orders[[#This Row],[Time]]),$AQ$1:$AR$7,2,1)</f>
        <v>Evening</v>
      </c>
      <c r="AK39" t="str">
        <f>IF(Orders[[#This Row],[rain_mode]]=0,"Sunny","Rainy")</f>
        <v>Sunny</v>
      </c>
    </row>
    <row r="40" spans="1:37" x14ac:dyDescent="0.35">
      <c r="A40">
        <v>168877172918547</v>
      </c>
      <c r="B40" t="b">
        <v>0</v>
      </c>
      <c r="C40" t="s">
        <v>42</v>
      </c>
      <c r="D40" t="s">
        <v>42</v>
      </c>
      <c r="E40" t="s">
        <v>273</v>
      </c>
      <c r="F40" t="s">
        <v>274</v>
      </c>
      <c r="G40" t="s">
        <v>32</v>
      </c>
      <c r="H40" t="s">
        <v>33</v>
      </c>
      <c r="I40" t="s">
        <v>275</v>
      </c>
      <c r="J40" t="s">
        <v>276</v>
      </c>
      <c r="K40" t="s">
        <v>277</v>
      </c>
      <c r="L40" t="s">
        <v>278</v>
      </c>
      <c r="M40" t="s">
        <v>279</v>
      </c>
      <c r="N40" t="s">
        <v>39</v>
      </c>
      <c r="O40">
        <v>2660</v>
      </c>
      <c r="P40">
        <v>154</v>
      </c>
      <c r="Q40">
        <v>154</v>
      </c>
      <c r="R40">
        <v>154</v>
      </c>
      <c r="S40">
        <v>249</v>
      </c>
      <c r="T40">
        <v>36</v>
      </c>
      <c r="U40">
        <v>0</v>
      </c>
      <c r="V40" t="s">
        <v>280</v>
      </c>
      <c r="W40">
        <v>1.8</v>
      </c>
      <c r="X40" t="s">
        <v>42</v>
      </c>
      <c r="Y40" t="s">
        <v>41</v>
      </c>
      <c r="Z40" t="s">
        <v>114</v>
      </c>
      <c r="AA40" t="b">
        <v>0</v>
      </c>
      <c r="AB40">
        <v>0</v>
      </c>
      <c r="AC40" t="str">
        <f t="shared" si="0"/>
        <v>No Coupon Applied</v>
      </c>
      <c r="AD40" t="str">
        <f>VLOOKUP(K40,'restaurant name correction'!$A$1:$B$44,2,0)</f>
        <v>Bowl Soul</v>
      </c>
      <c r="AE40" t="str">
        <f>VLOOKUP(Z40,restaurant_area_correction!$A$1:$B$18,2,0)</f>
        <v>HSR</v>
      </c>
      <c r="AF40">
        <f t="shared" si="1"/>
        <v>0</v>
      </c>
      <c r="AG40" s="11">
        <f t="shared" si="2"/>
        <v>45359</v>
      </c>
      <c r="AH40" s="12">
        <f t="shared" si="3"/>
        <v>0.82606481481343508</v>
      </c>
      <c r="AI40" t="str">
        <f t="shared" si="4"/>
        <v>Friday</v>
      </c>
      <c r="AJ40" t="str">
        <f>VLOOKUP(HOUR(Orders[[#This Row],[Time]]),$AQ$1:$AR$7,2,1)</f>
        <v>Evening</v>
      </c>
      <c r="AK40" t="str">
        <f>IF(Orders[[#This Row],[rain_mode]]=0,"Sunny","Rainy")</f>
        <v>Sunny</v>
      </c>
    </row>
    <row r="41" spans="1:37" x14ac:dyDescent="0.35">
      <c r="A41">
        <v>168622214022977</v>
      </c>
      <c r="B41" t="b">
        <v>1</v>
      </c>
      <c r="C41" t="s">
        <v>28</v>
      </c>
      <c r="D41" t="s">
        <v>281</v>
      </c>
      <c r="E41" t="s">
        <v>282</v>
      </c>
      <c r="F41" t="s">
        <v>283</v>
      </c>
      <c r="G41" t="s">
        <v>32</v>
      </c>
      <c r="H41" t="s">
        <v>33</v>
      </c>
      <c r="I41" t="s">
        <v>284</v>
      </c>
      <c r="J41" t="s">
        <v>256</v>
      </c>
      <c r="K41" t="s">
        <v>257</v>
      </c>
      <c r="L41" t="s">
        <v>258</v>
      </c>
      <c r="M41" t="s">
        <v>112</v>
      </c>
      <c r="N41" t="s">
        <v>39</v>
      </c>
      <c r="O41">
        <v>2107</v>
      </c>
      <c r="P41">
        <v>302</v>
      </c>
      <c r="Q41">
        <v>302</v>
      </c>
      <c r="R41">
        <v>302</v>
      </c>
      <c r="S41">
        <v>349</v>
      </c>
      <c r="T41">
        <v>36</v>
      </c>
      <c r="U41">
        <v>0</v>
      </c>
      <c r="V41" t="s">
        <v>259</v>
      </c>
      <c r="W41">
        <v>1.7</v>
      </c>
      <c r="X41" t="s">
        <v>28</v>
      </c>
      <c r="Y41" t="s">
        <v>41</v>
      </c>
      <c r="Z41" t="s">
        <v>260</v>
      </c>
      <c r="AA41" t="b">
        <v>1</v>
      </c>
      <c r="AB41">
        <v>0</v>
      </c>
      <c r="AC41" t="str">
        <f t="shared" si="0"/>
        <v>SWIGGYIT</v>
      </c>
      <c r="AD41" t="str">
        <f>VLOOKUP(K41,'restaurant name correction'!$A$1:$B$44,2,0)</f>
        <v>Subway</v>
      </c>
      <c r="AE41" t="str">
        <f>VLOOKUP(Z41,restaurant_area_correction!$A$1:$B$18,2,0)</f>
        <v>HSR</v>
      </c>
      <c r="AF41">
        <f t="shared" si="1"/>
        <v>80</v>
      </c>
      <c r="AG41" s="11">
        <f t="shared" si="2"/>
        <v>45356</v>
      </c>
      <c r="AH41" s="12">
        <f t="shared" si="3"/>
        <v>0.87516203703853535</v>
      </c>
      <c r="AI41" t="str">
        <f t="shared" si="4"/>
        <v>Tuesday</v>
      </c>
      <c r="AJ41" t="str">
        <f>VLOOKUP(HOUR(Orders[[#This Row],[Time]]),$AQ$1:$AR$7,2,1)</f>
        <v>Night</v>
      </c>
      <c r="AK41" t="str">
        <f>IF(Orders[[#This Row],[rain_mode]]=0,"Sunny","Rainy")</f>
        <v>Sunny</v>
      </c>
    </row>
    <row r="42" spans="1:37" x14ac:dyDescent="0.35">
      <c r="A42">
        <v>168513609258675</v>
      </c>
      <c r="B42" t="b">
        <v>0</v>
      </c>
      <c r="C42" t="s">
        <v>42</v>
      </c>
      <c r="D42" t="s">
        <v>42</v>
      </c>
      <c r="E42" t="s">
        <v>285</v>
      </c>
      <c r="F42" t="s">
        <v>286</v>
      </c>
      <c r="G42" t="s">
        <v>32</v>
      </c>
      <c r="H42" t="s">
        <v>33</v>
      </c>
      <c r="I42" t="s">
        <v>287</v>
      </c>
      <c r="J42" t="s">
        <v>288</v>
      </c>
      <c r="K42" t="s">
        <v>47</v>
      </c>
      <c r="L42" t="s">
        <v>289</v>
      </c>
      <c r="M42" t="s">
        <v>290</v>
      </c>
      <c r="N42" t="s">
        <v>39</v>
      </c>
      <c r="O42">
        <v>3667</v>
      </c>
      <c r="P42">
        <v>537</v>
      </c>
      <c r="Q42">
        <v>537</v>
      </c>
      <c r="R42">
        <v>537</v>
      </c>
      <c r="S42">
        <v>525</v>
      </c>
      <c r="T42">
        <v>44</v>
      </c>
      <c r="U42">
        <v>0</v>
      </c>
      <c r="V42" t="s">
        <v>291</v>
      </c>
      <c r="W42">
        <v>4.8</v>
      </c>
      <c r="X42" t="s">
        <v>42</v>
      </c>
      <c r="Y42" t="s">
        <v>41</v>
      </c>
      <c r="Z42" t="s">
        <v>290</v>
      </c>
      <c r="AA42" t="b">
        <v>0</v>
      </c>
      <c r="AB42">
        <v>0</v>
      </c>
      <c r="AC42" t="str">
        <f t="shared" si="0"/>
        <v>No Coupon Applied</v>
      </c>
      <c r="AD42" t="str">
        <f>VLOOKUP(K42,'restaurant name correction'!$A$1:$B$44,2,0)</f>
        <v>Nandhana Palace</v>
      </c>
      <c r="AE42" t="str">
        <f>VLOOKUP(Z42,restaurant_area_correction!$A$1:$B$18,2,0)</f>
        <v>Koramangala</v>
      </c>
      <c r="AF42">
        <f t="shared" si="1"/>
        <v>0</v>
      </c>
      <c r="AG42" s="11">
        <f t="shared" si="2"/>
        <v>45355</v>
      </c>
      <c r="AH42" s="12">
        <f t="shared" si="3"/>
        <v>0.61815972222393611</v>
      </c>
      <c r="AI42" t="str">
        <f t="shared" si="4"/>
        <v>Monday</v>
      </c>
      <c r="AJ42" t="str">
        <f>VLOOKUP(HOUR(Orders[[#This Row],[Time]]),$AQ$1:$AR$7,2,1)</f>
        <v>Afternoon</v>
      </c>
      <c r="AK42" t="str">
        <f>IF(Orders[[#This Row],[rain_mode]]=0,"Sunny","Rainy")</f>
        <v>Sunny</v>
      </c>
    </row>
    <row r="43" spans="1:37" x14ac:dyDescent="0.35">
      <c r="A43">
        <v>168438354785516</v>
      </c>
      <c r="B43" t="b">
        <v>0</v>
      </c>
      <c r="C43" t="s">
        <v>42</v>
      </c>
      <c r="D43" t="s">
        <v>42</v>
      </c>
      <c r="E43" t="s">
        <v>292</v>
      </c>
      <c r="F43" t="s">
        <v>293</v>
      </c>
      <c r="G43" t="s">
        <v>32</v>
      </c>
      <c r="H43" t="s">
        <v>33</v>
      </c>
      <c r="I43" t="s">
        <v>294</v>
      </c>
      <c r="J43" t="s">
        <v>295</v>
      </c>
      <c r="K43" t="s">
        <v>88</v>
      </c>
      <c r="L43" t="s">
        <v>296</v>
      </c>
      <c r="M43" t="s">
        <v>279</v>
      </c>
      <c r="N43" t="s">
        <v>39</v>
      </c>
      <c r="O43">
        <v>1348</v>
      </c>
      <c r="P43">
        <v>466</v>
      </c>
      <c r="Q43">
        <v>466</v>
      </c>
      <c r="R43">
        <v>466</v>
      </c>
      <c r="S43">
        <v>400</v>
      </c>
      <c r="T43">
        <v>39</v>
      </c>
      <c r="U43">
        <v>0</v>
      </c>
      <c r="V43" t="s">
        <v>297</v>
      </c>
      <c r="W43">
        <v>2.1</v>
      </c>
      <c r="X43" t="s">
        <v>42</v>
      </c>
      <c r="Y43" t="s">
        <v>41</v>
      </c>
      <c r="Z43" t="s">
        <v>114</v>
      </c>
      <c r="AA43" t="b">
        <v>1</v>
      </c>
      <c r="AB43">
        <v>0</v>
      </c>
      <c r="AC43" t="str">
        <f t="shared" si="0"/>
        <v>No Coupon Applied</v>
      </c>
      <c r="AD43" t="str">
        <f>VLOOKUP(K43,'restaurant name correction'!$A$1:$B$44,2,0)</f>
        <v>Daily Sushi</v>
      </c>
      <c r="AE43" t="str">
        <f>VLOOKUP(Z43,restaurant_area_correction!$A$1:$B$18,2,0)</f>
        <v>HSR</v>
      </c>
      <c r="AF43">
        <f t="shared" si="1"/>
        <v>0</v>
      </c>
      <c r="AG43" s="11">
        <f t="shared" si="2"/>
        <v>45354</v>
      </c>
      <c r="AH43" s="12">
        <f t="shared" si="3"/>
        <v>0.74715277777431766</v>
      </c>
      <c r="AI43" t="str">
        <f t="shared" si="4"/>
        <v>Sunday</v>
      </c>
      <c r="AJ43" t="str">
        <f>VLOOKUP(HOUR(Orders[[#This Row],[Time]]),$AQ$1:$AR$7,2,1)</f>
        <v>Evening</v>
      </c>
      <c r="AK43" t="str">
        <f>IF(Orders[[#This Row],[rain_mode]]=0,"Sunny","Rainy")</f>
        <v>Sunny</v>
      </c>
    </row>
    <row r="44" spans="1:37" x14ac:dyDescent="0.35">
      <c r="A44">
        <v>168293863851738</v>
      </c>
      <c r="B44" t="b">
        <v>0</v>
      </c>
      <c r="C44" t="s">
        <v>42</v>
      </c>
      <c r="D44" t="s">
        <v>42</v>
      </c>
      <c r="E44" t="s">
        <v>298</v>
      </c>
      <c r="F44" t="s">
        <v>299</v>
      </c>
      <c r="G44" t="s">
        <v>32</v>
      </c>
      <c r="H44" t="s">
        <v>33</v>
      </c>
      <c r="I44" t="s">
        <v>300</v>
      </c>
      <c r="J44" t="s">
        <v>301</v>
      </c>
      <c r="K44" t="s">
        <v>302</v>
      </c>
      <c r="L44" t="s">
        <v>303</v>
      </c>
      <c r="M44" t="s">
        <v>304</v>
      </c>
      <c r="N44" t="s">
        <v>39</v>
      </c>
      <c r="O44">
        <v>1954</v>
      </c>
      <c r="P44">
        <v>568</v>
      </c>
      <c r="Q44">
        <v>568</v>
      </c>
      <c r="R44">
        <v>568</v>
      </c>
      <c r="S44">
        <v>518</v>
      </c>
      <c r="T44">
        <v>67</v>
      </c>
      <c r="U44">
        <v>0</v>
      </c>
      <c r="V44" t="s">
        <v>305</v>
      </c>
      <c r="W44">
        <v>5.0999999999999996</v>
      </c>
      <c r="X44" t="s">
        <v>42</v>
      </c>
      <c r="Y44" t="s">
        <v>41</v>
      </c>
      <c r="Z44" t="s">
        <v>306</v>
      </c>
      <c r="AA44" t="b">
        <v>1</v>
      </c>
      <c r="AB44">
        <v>0</v>
      </c>
      <c r="AC44" t="str">
        <f t="shared" si="0"/>
        <v>No Coupon Applied</v>
      </c>
      <c r="AD44" t="str">
        <f>VLOOKUP(K44,'restaurant name correction'!$A$1:$B$44,2,0)</f>
        <v>Sundae Everyday Ice Creams</v>
      </c>
      <c r="AE44" t="str">
        <f>VLOOKUP(Z44,restaurant_area_correction!$A$1:$B$18,2,0)</f>
        <v>Yelahanka</v>
      </c>
      <c r="AF44">
        <f t="shared" si="1"/>
        <v>0</v>
      </c>
      <c r="AG44" s="11">
        <f t="shared" si="2"/>
        <v>45353</v>
      </c>
      <c r="AH44" s="12">
        <f t="shared" si="3"/>
        <v>7.480324074276723E-2</v>
      </c>
      <c r="AI44" t="str">
        <f t="shared" si="4"/>
        <v>Saturday</v>
      </c>
      <c r="AJ44" t="str">
        <f>VLOOKUP(HOUR(Orders[[#This Row],[Time]]),$AQ$1:$AR$7,2,1)</f>
        <v>Early Morning</v>
      </c>
      <c r="AK44" t="str">
        <f>IF(Orders[[#This Row],[rain_mode]]=0,"Sunny","Rainy")</f>
        <v>Sunny</v>
      </c>
    </row>
    <row r="45" spans="1:37" x14ac:dyDescent="0.35">
      <c r="A45">
        <v>168028113662672</v>
      </c>
      <c r="B45" t="b">
        <v>1</v>
      </c>
      <c r="C45" t="s">
        <v>28</v>
      </c>
      <c r="D45" t="s">
        <v>307</v>
      </c>
      <c r="E45" t="s">
        <v>308</v>
      </c>
      <c r="F45" t="s">
        <v>309</v>
      </c>
      <c r="G45" t="s">
        <v>32</v>
      </c>
      <c r="H45" t="s">
        <v>33</v>
      </c>
      <c r="I45" t="s">
        <v>310</v>
      </c>
      <c r="J45" t="s">
        <v>311</v>
      </c>
      <c r="K45" t="s">
        <v>312</v>
      </c>
      <c r="L45" t="s">
        <v>313</v>
      </c>
      <c r="M45" t="s">
        <v>290</v>
      </c>
      <c r="N45" t="s">
        <v>39</v>
      </c>
      <c r="O45">
        <v>1074</v>
      </c>
      <c r="P45">
        <v>212</v>
      </c>
      <c r="Q45">
        <v>212</v>
      </c>
      <c r="R45">
        <v>212</v>
      </c>
      <c r="S45">
        <v>209</v>
      </c>
      <c r="T45">
        <v>66</v>
      </c>
      <c r="U45">
        <v>0</v>
      </c>
      <c r="V45" t="s">
        <v>314</v>
      </c>
      <c r="W45">
        <v>5.9</v>
      </c>
      <c r="X45" t="s">
        <v>28</v>
      </c>
      <c r="Y45" t="s">
        <v>41</v>
      </c>
      <c r="Z45" t="s">
        <v>290</v>
      </c>
      <c r="AA45" t="b">
        <v>1</v>
      </c>
      <c r="AB45">
        <v>0</v>
      </c>
      <c r="AC45" t="str">
        <f t="shared" si="0"/>
        <v>SWIGGYIT</v>
      </c>
      <c r="AD45" t="str">
        <f>VLOOKUP(K45,'restaurant name correction'!$A$1:$B$44,2,0)</f>
        <v>Smoky Docky</v>
      </c>
      <c r="AE45" t="str">
        <f>VLOOKUP(Z45,restaurant_area_correction!$A$1:$B$18,2,0)</f>
        <v>Koramangala</v>
      </c>
      <c r="AF45">
        <f t="shared" si="1"/>
        <v>20.9</v>
      </c>
      <c r="AG45" s="11">
        <f t="shared" si="2"/>
        <v>45349</v>
      </c>
      <c r="AH45" s="12">
        <f t="shared" si="3"/>
        <v>0.99899305555300089</v>
      </c>
      <c r="AI45" t="str">
        <f t="shared" si="4"/>
        <v>Tuesday</v>
      </c>
      <c r="AJ45" t="str">
        <f>VLOOKUP(HOUR(Orders[[#This Row],[Time]]),$AQ$1:$AR$7,2,1)</f>
        <v>Night</v>
      </c>
      <c r="AK45" t="str">
        <f>IF(Orders[[#This Row],[rain_mode]]=0,"Sunny","Rainy")</f>
        <v>Sunny</v>
      </c>
    </row>
    <row r="46" spans="1:37" x14ac:dyDescent="0.35">
      <c r="A46">
        <v>168013539245633</v>
      </c>
      <c r="B46" t="b">
        <v>1</v>
      </c>
      <c r="C46" t="s">
        <v>28</v>
      </c>
      <c r="D46" t="s">
        <v>315</v>
      </c>
      <c r="E46" t="s">
        <v>316</v>
      </c>
      <c r="F46" t="s">
        <v>317</v>
      </c>
      <c r="G46" t="s">
        <v>32</v>
      </c>
      <c r="H46" t="s">
        <v>33</v>
      </c>
      <c r="I46" t="s">
        <v>318</v>
      </c>
      <c r="J46" t="s">
        <v>319</v>
      </c>
      <c r="K46" t="s">
        <v>257</v>
      </c>
      <c r="L46" t="s">
        <v>320</v>
      </c>
      <c r="M46" t="s">
        <v>321</v>
      </c>
      <c r="N46" t="s">
        <v>39</v>
      </c>
      <c r="O46">
        <v>1143</v>
      </c>
      <c r="P46">
        <v>307</v>
      </c>
      <c r="Q46">
        <v>307</v>
      </c>
      <c r="R46">
        <v>307</v>
      </c>
      <c r="S46">
        <v>349</v>
      </c>
      <c r="T46">
        <v>43</v>
      </c>
      <c r="U46">
        <v>0</v>
      </c>
      <c r="V46" t="s">
        <v>322</v>
      </c>
      <c r="W46">
        <v>3.4</v>
      </c>
      <c r="X46" t="s">
        <v>28</v>
      </c>
      <c r="Y46" t="s">
        <v>41</v>
      </c>
      <c r="Z46" t="s">
        <v>290</v>
      </c>
      <c r="AA46" t="b">
        <v>1</v>
      </c>
      <c r="AB46">
        <v>0</v>
      </c>
      <c r="AC46" t="str">
        <f t="shared" si="0"/>
        <v>SWIGGYIT</v>
      </c>
      <c r="AD46" t="str">
        <f>VLOOKUP(K46,'restaurant name correction'!$A$1:$B$44,2,0)</f>
        <v>Subway</v>
      </c>
      <c r="AE46" t="str">
        <f>VLOOKUP(Z46,restaurant_area_correction!$A$1:$B$18,2,0)</f>
        <v>Koramangala</v>
      </c>
      <c r="AF46">
        <f t="shared" si="1"/>
        <v>75</v>
      </c>
      <c r="AG46" s="11">
        <f t="shared" si="2"/>
        <v>45349</v>
      </c>
      <c r="AH46" s="12">
        <f t="shared" si="3"/>
        <v>0.83031250000203727</v>
      </c>
      <c r="AI46" t="str">
        <f t="shared" si="4"/>
        <v>Tuesday</v>
      </c>
      <c r="AJ46" t="str">
        <f>VLOOKUP(HOUR(Orders[[#This Row],[Time]]),$AQ$1:$AR$7,2,1)</f>
        <v>Evening</v>
      </c>
      <c r="AK46" t="str">
        <f>IF(Orders[[#This Row],[rain_mode]]=0,"Sunny","Rainy")</f>
        <v>Sunny</v>
      </c>
    </row>
    <row r="47" spans="1:37" x14ac:dyDescent="0.35">
      <c r="A47">
        <v>167927988529759</v>
      </c>
      <c r="B47" t="b">
        <v>1</v>
      </c>
      <c r="C47" t="s">
        <v>28</v>
      </c>
      <c r="D47" t="s">
        <v>307</v>
      </c>
      <c r="E47" t="s">
        <v>323</v>
      </c>
      <c r="F47" t="s">
        <v>324</v>
      </c>
      <c r="G47" t="s">
        <v>32</v>
      </c>
      <c r="H47" t="s">
        <v>33</v>
      </c>
      <c r="I47" t="s">
        <v>325</v>
      </c>
      <c r="J47" t="s">
        <v>311</v>
      </c>
      <c r="K47" t="s">
        <v>312</v>
      </c>
      <c r="L47" t="s">
        <v>313</v>
      </c>
      <c r="M47" t="s">
        <v>290</v>
      </c>
      <c r="N47" t="s">
        <v>39</v>
      </c>
      <c r="O47">
        <v>2408</v>
      </c>
      <c r="P47">
        <v>212</v>
      </c>
      <c r="Q47">
        <v>212</v>
      </c>
      <c r="R47">
        <v>212</v>
      </c>
      <c r="S47">
        <v>209</v>
      </c>
      <c r="T47">
        <v>60</v>
      </c>
      <c r="U47">
        <v>0</v>
      </c>
      <c r="V47" t="s">
        <v>314</v>
      </c>
      <c r="W47">
        <v>5.9</v>
      </c>
      <c r="X47" t="s">
        <v>28</v>
      </c>
      <c r="Y47" t="s">
        <v>41</v>
      </c>
      <c r="Z47" t="s">
        <v>290</v>
      </c>
      <c r="AA47" t="b">
        <v>0</v>
      </c>
      <c r="AB47">
        <v>0</v>
      </c>
      <c r="AC47" t="str">
        <f t="shared" si="0"/>
        <v>SWIGGYIT</v>
      </c>
      <c r="AD47" t="str">
        <f>VLOOKUP(K47,'restaurant name correction'!$A$1:$B$44,2,0)</f>
        <v>Smoky Docky</v>
      </c>
      <c r="AE47" t="str">
        <f>VLOOKUP(Z47,restaurant_area_correction!$A$1:$B$18,2,0)</f>
        <v>Koramangala</v>
      </c>
      <c r="AF47">
        <f t="shared" si="1"/>
        <v>20.9</v>
      </c>
      <c r="AG47" s="11">
        <f t="shared" si="2"/>
        <v>45348</v>
      </c>
      <c r="AH47" s="12">
        <f t="shared" si="3"/>
        <v>0.84013888888875954</v>
      </c>
      <c r="AI47" t="str">
        <f t="shared" si="4"/>
        <v>Monday</v>
      </c>
      <c r="AJ47" t="str">
        <f>VLOOKUP(HOUR(Orders[[#This Row],[Time]]),$AQ$1:$AR$7,2,1)</f>
        <v>Night</v>
      </c>
      <c r="AK47" t="str">
        <f>IF(Orders[[#This Row],[rain_mode]]=0,"Sunny","Rainy")</f>
        <v>Sunny</v>
      </c>
    </row>
    <row r="48" spans="1:37" x14ac:dyDescent="0.35">
      <c r="A48">
        <v>167230102604894</v>
      </c>
      <c r="B48" t="b">
        <v>1</v>
      </c>
      <c r="C48" t="s">
        <v>28</v>
      </c>
      <c r="D48" t="s">
        <v>326</v>
      </c>
      <c r="E48" t="s">
        <v>327</v>
      </c>
      <c r="F48" t="s">
        <v>328</v>
      </c>
      <c r="G48" t="s">
        <v>32</v>
      </c>
      <c r="H48" t="s">
        <v>33</v>
      </c>
      <c r="I48" t="s">
        <v>329</v>
      </c>
      <c r="J48" t="s">
        <v>330</v>
      </c>
      <c r="K48" t="s">
        <v>56</v>
      </c>
      <c r="L48" t="s">
        <v>331</v>
      </c>
      <c r="M48" t="s">
        <v>214</v>
      </c>
      <c r="N48" t="s">
        <v>39</v>
      </c>
      <c r="O48">
        <v>2856</v>
      </c>
      <c r="P48">
        <v>341</v>
      </c>
      <c r="Q48">
        <v>341</v>
      </c>
      <c r="R48">
        <v>341</v>
      </c>
      <c r="S48">
        <v>357</v>
      </c>
      <c r="T48">
        <v>77</v>
      </c>
      <c r="U48">
        <v>0</v>
      </c>
      <c r="V48" t="s">
        <v>332</v>
      </c>
      <c r="W48">
        <v>6.2</v>
      </c>
      <c r="X48" t="s">
        <v>28</v>
      </c>
      <c r="Y48" t="s">
        <v>41</v>
      </c>
      <c r="Z48" t="s">
        <v>333</v>
      </c>
      <c r="AA48" t="b">
        <v>0</v>
      </c>
      <c r="AB48">
        <v>0</v>
      </c>
      <c r="AC48" t="str">
        <f t="shared" si="0"/>
        <v>SWIGGYIT</v>
      </c>
      <c r="AD48" t="str">
        <f>VLOOKUP(K48,'restaurant name correction'!$A$1:$B$44,2,0)</f>
        <v xml:space="preserve">The Ganache Factory </v>
      </c>
      <c r="AE48" t="str">
        <f>VLOOKUP(Z48,restaurant_area_correction!$A$1:$B$18,2,0)</f>
        <v>Devarabeesanahalli</v>
      </c>
      <c r="AF48">
        <f t="shared" si="1"/>
        <v>35.700000000000003</v>
      </c>
      <c r="AG48" s="11">
        <f t="shared" si="2"/>
        <v>45340</v>
      </c>
      <c r="AH48" s="12">
        <f t="shared" si="3"/>
        <v>0.76275462962803431</v>
      </c>
      <c r="AI48" t="str">
        <f t="shared" si="4"/>
        <v>Sunday</v>
      </c>
      <c r="AJ48" t="str">
        <f>VLOOKUP(HOUR(Orders[[#This Row],[Time]]),$AQ$1:$AR$7,2,1)</f>
        <v>Evening</v>
      </c>
      <c r="AK48" t="str">
        <f>IF(Orders[[#This Row],[rain_mode]]=0,"Sunny","Rainy")</f>
        <v>Sunny</v>
      </c>
    </row>
    <row r="49" spans="1:37" x14ac:dyDescent="0.35">
      <c r="A49">
        <v>167065261006312</v>
      </c>
      <c r="B49" t="b">
        <v>0</v>
      </c>
      <c r="C49" t="s">
        <v>42</v>
      </c>
      <c r="D49" t="s">
        <v>42</v>
      </c>
      <c r="E49" t="s">
        <v>334</v>
      </c>
      <c r="F49" t="s">
        <v>335</v>
      </c>
      <c r="G49" t="s">
        <v>32</v>
      </c>
      <c r="H49" t="s">
        <v>33</v>
      </c>
      <c r="I49" t="s">
        <v>336</v>
      </c>
      <c r="J49" t="s">
        <v>295</v>
      </c>
      <c r="K49" t="s">
        <v>88</v>
      </c>
      <c r="L49" t="s">
        <v>296</v>
      </c>
      <c r="M49" t="s">
        <v>279</v>
      </c>
      <c r="N49" t="s">
        <v>39</v>
      </c>
      <c r="O49">
        <v>1383</v>
      </c>
      <c r="P49">
        <v>650</v>
      </c>
      <c r="Q49">
        <v>650</v>
      </c>
      <c r="R49">
        <v>650</v>
      </c>
      <c r="S49">
        <v>560</v>
      </c>
      <c r="T49">
        <v>43</v>
      </c>
      <c r="U49">
        <v>0</v>
      </c>
      <c r="V49" t="s">
        <v>297</v>
      </c>
      <c r="W49">
        <v>2</v>
      </c>
      <c r="X49" t="s">
        <v>42</v>
      </c>
      <c r="Y49" t="s">
        <v>92</v>
      </c>
      <c r="Z49" t="s">
        <v>114</v>
      </c>
      <c r="AA49" t="b">
        <v>1</v>
      </c>
      <c r="AB49">
        <v>0</v>
      </c>
      <c r="AC49" t="str">
        <f t="shared" si="0"/>
        <v>No Coupon Applied</v>
      </c>
      <c r="AD49" t="str">
        <f>VLOOKUP(K49,'restaurant name correction'!$A$1:$B$44,2,0)</f>
        <v>Daily Sushi</v>
      </c>
      <c r="AE49" t="str">
        <f>VLOOKUP(Z49,restaurant_area_correction!$A$1:$B$18,2,0)</f>
        <v>HSR</v>
      </c>
      <c r="AF49">
        <f t="shared" si="1"/>
        <v>0</v>
      </c>
      <c r="AG49" s="11">
        <f t="shared" si="2"/>
        <v>45338</v>
      </c>
      <c r="AH49" s="12">
        <f t="shared" si="3"/>
        <v>0.85487268518772908</v>
      </c>
      <c r="AI49" t="str">
        <f t="shared" si="4"/>
        <v>Friday</v>
      </c>
      <c r="AJ49" t="str">
        <f>VLOOKUP(HOUR(Orders[[#This Row],[Time]]),$AQ$1:$AR$7,2,1)</f>
        <v>Night</v>
      </c>
      <c r="AK49" t="str">
        <f>IF(Orders[[#This Row],[rain_mode]]=0,"Sunny","Rainy")</f>
        <v>Sunny</v>
      </c>
    </row>
    <row r="50" spans="1:37" x14ac:dyDescent="0.35">
      <c r="A50">
        <v>167041647226680</v>
      </c>
      <c r="B50" t="b">
        <v>1</v>
      </c>
      <c r="C50" t="s">
        <v>28</v>
      </c>
      <c r="D50" t="s">
        <v>337</v>
      </c>
      <c r="E50" t="s">
        <v>338</v>
      </c>
      <c r="F50" t="s">
        <v>339</v>
      </c>
      <c r="G50" t="s">
        <v>32</v>
      </c>
      <c r="H50" t="s">
        <v>33</v>
      </c>
      <c r="I50" t="s">
        <v>340</v>
      </c>
      <c r="J50" t="s">
        <v>256</v>
      </c>
      <c r="K50" t="s">
        <v>257</v>
      </c>
      <c r="L50" t="s">
        <v>258</v>
      </c>
      <c r="M50" t="s">
        <v>112</v>
      </c>
      <c r="N50" t="s">
        <v>39</v>
      </c>
      <c r="O50">
        <v>1410</v>
      </c>
      <c r="P50">
        <v>302</v>
      </c>
      <c r="Q50">
        <v>302</v>
      </c>
      <c r="R50">
        <v>302</v>
      </c>
      <c r="S50">
        <v>349</v>
      </c>
      <c r="T50">
        <v>31</v>
      </c>
      <c r="U50">
        <v>0</v>
      </c>
      <c r="V50" t="s">
        <v>259</v>
      </c>
      <c r="W50">
        <v>1.9</v>
      </c>
      <c r="X50" t="s">
        <v>28</v>
      </c>
      <c r="Y50" t="s">
        <v>41</v>
      </c>
      <c r="Z50" t="s">
        <v>260</v>
      </c>
      <c r="AA50" t="b">
        <v>1</v>
      </c>
      <c r="AB50">
        <v>0</v>
      </c>
      <c r="AC50" t="str">
        <f t="shared" si="0"/>
        <v>SWIGGYIT</v>
      </c>
      <c r="AD50" t="str">
        <f>VLOOKUP(K50,'restaurant name correction'!$A$1:$B$44,2,0)</f>
        <v>Subway</v>
      </c>
      <c r="AE50" t="str">
        <f>VLOOKUP(Z50,restaurant_area_correction!$A$1:$B$18,2,0)</f>
        <v>HSR</v>
      </c>
      <c r="AF50">
        <f t="shared" si="1"/>
        <v>80</v>
      </c>
      <c r="AG50" s="11">
        <f t="shared" si="2"/>
        <v>45338</v>
      </c>
      <c r="AH50" s="12">
        <f t="shared" si="3"/>
        <v>0.58156250000320142</v>
      </c>
      <c r="AI50" t="str">
        <f t="shared" si="4"/>
        <v>Friday</v>
      </c>
      <c r="AJ50" t="str">
        <f>VLOOKUP(HOUR(Orders[[#This Row],[Time]]),$AQ$1:$AR$7,2,1)</f>
        <v>Afternoon</v>
      </c>
      <c r="AK50" t="str">
        <f>IF(Orders[[#This Row],[rain_mode]]=0,"Sunny","Rainy")</f>
        <v>Sunny</v>
      </c>
    </row>
    <row r="51" spans="1:37" x14ac:dyDescent="0.35">
      <c r="A51">
        <v>166952305677312</v>
      </c>
      <c r="B51" t="b">
        <v>1</v>
      </c>
      <c r="C51" t="s">
        <v>28</v>
      </c>
      <c r="D51" t="s">
        <v>341</v>
      </c>
      <c r="E51" t="s">
        <v>342</v>
      </c>
      <c r="F51" t="s">
        <v>343</v>
      </c>
      <c r="G51" t="s">
        <v>32</v>
      </c>
      <c r="H51" t="s">
        <v>33</v>
      </c>
      <c r="I51" t="s">
        <v>344</v>
      </c>
      <c r="J51" t="s">
        <v>330</v>
      </c>
      <c r="K51" t="s">
        <v>56</v>
      </c>
      <c r="L51" t="s">
        <v>331</v>
      </c>
      <c r="M51" t="s">
        <v>214</v>
      </c>
      <c r="N51" t="s">
        <v>39</v>
      </c>
      <c r="O51">
        <v>2633</v>
      </c>
      <c r="P51">
        <v>809</v>
      </c>
      <c r="Q51">
        <v>809</v>
      </c>
      <c r="R51">
        <v>809</v>
      </c>
      <c r="S51">
        <v>787.5</v>
      </c>
      <c r="T51">
        <v>79</v>
      </c>
      <c r="U51">
        <v>0</v>
      </c>
      <c r="V51" t="s">
        <v>332</v>
      </c>
      <c r="W51">
        <v>7.1</v>
      </c>
      <c r="X51" t="s">
        <v>28</v>
      </c>
      <c r="Y51" t="s">
        <v>41</v>
      </c>
      <c r="Z51" t="s">
        <v>333</v>
      </c>
      <c r="AA51" t="b">
        <v>1</v>
      </c>
      <c r="AB51">
        <v>0</v>
      </c>
      <c r="AC51" t="str">
        <f t="shared" si="0"/>
        <v>SWIGGYIT</v>
      </c>
      <c r="AD51" t="str">
        <f>VLOOKUP(K51,'restaurant name correction'!$A$1:$B$44,2,0)</f>
        <v xml:space="preserve">The Ganache Factory </v>
      </c>
      <c r="AE51" t="str">
        <f>VLOOKUP(Z51,restaurant_area_correction!$A$1:$B$18,2,0)</f>
        <v>Devarabeesanahalli</v>
      </c>
      <c r="AF51">
        <f t="shared" si="1"/>
        <v>40</v>
      </c>
      <c r="AG51" s="11">
        <f t="shared" si="2"/>
        <v>45337</v>
      </c>
      <c r="AH51" s="12">
        <f t="shared" si="3"/>
        <v>0.54751157407736173</v>
      </c>
      <c r="AI51" t="str">
        <f t="shared" si="4"/>
        <v>Thursday</v>
      </c>
      <c r="AJ51" t="str">
        <f>VLOOKUP(HOUR(Orders[[#This Row],[Time]]),$AQ$1:$AR$7,2,1)</f>
        <v>Afternoon</v>
      </c>
      <c r="AK51" t="str">
        <f>IF(Orders[[#This Row],[rain_mode]]=0,"Sunny","Rainy")</f>
        <v>Sunny</v>
      </c>
    </row>
    <row r="52" spans="1:37" x14ac:dyDescent="0.35">
      <c r="A52">
        <v>166803724653459</v>
      </c>
      <c r="B52" t="b">
        <v>1</v>
      </c>
      <c r="C52" t="s">
        <v>28</v>
      </c>
      <c r="D52" t="s">
        <v>337</v>
      </c>
      <c r="E52" t="s">
        <v>345</v>
      </c>
      <c r="F52" t="s">
        <v>346</v>
      </c>
      <c r="G52" t="s">
        <v>32</v>
      </c>
      <c r="H52" t="s">
        <v>33</v>
      </c>
      <c r="I52" t="s">
        <v>347</v>
      </c>
      <c r="J52" t="s">
        <v>256</v>
      </c>
      <c r="K52" t="s">
        <v>257</v>
      </c>
      <c r="L52" t="s">
        <v>258</v>
      </c>
      <c r="M52" t="s">
        <v>112</v>
      </c>
      <c r="N52" t="s">
        <v>39</v>
      </c>
      <c r="O52">
        <v>2219</v>
      </c>
      <c r="P52">
        <v>198</v>
      </c>
      <c r="Q52">
        <v>198</v>
      </c>
      <c r="R52">
        <v>198</v>
      </c>
      <c r="S52">
        <v>250</v>
      </c>
      <c r="T52">
        <v>34</v>
      </c>
      <c r="U52">
        <v>0</v>
      </c>
      <c r="V52" t="s">
        <v>259</v>
      </c>
      <c r="W52">
        <v>1.9</v>
      </c>
      <c r="X52" t="s">
        <v>28</v>
      </c>
      <c r="Y52" t="s">
        <v>41</v>
      </c>
      <c r="Z52" t="s">
        <v>260</v>
      </c>
      <c r="AA52" t="b">
        <v>0</v>
      </c>
      <c r="AB52">
        <v>0</v>
      </c>
      <c r="AC52" t="str">
        <f t="shared" si="0"/>
        <v>SWIGGYIT</v>
      </c>
      <c r="AD52" t="str">
        <f>VLOOKUP(K52,'restaurant name correction'!$A$1:$B$44,2,0)</f>
        <v>Subway</v>
      </c>
      <c r="AE52" t="str">
        <f>VLOOKUP(Z52,restaurant_area_correction!$A$1:$B$18,2,0)</f>
        <v>HSR</v>
      </c>
      <c r="AF52">
        <f t="shared" si="1"/>
        <v>80</v>
      </c>
      <c r="AG52" s="11">
        <f t="shared" si="2"/>
        <v>45335</v>
      </c>
      <c r="AH52" s="12">
        <f t="shared" si="3"/>
        <v>0.82782407407648861</v>
      </c>
      <c r="AI52" t="str">
        <f t="shared" si="4"/>
        <v>Tuesday</v>
      </c>
      <c r="AJ52" t="str">
        <f>VLOOKUP(HOUR(Orders[[#This Row],[Time]]),$AQ$1:$AR$7,2,1)</f>
        <v>Evening</v>
      </c>
      <c r="AK52" t="str">
        <f>IF(Orders[[#This Row],[rain_mode]]=0,"Sunny","Rainy")</f>
        <v>Sunny</v>
      </c>
    </row>
    <row r="53" spans="1:37" x14ac:dyDescent="0.35">
      <c r="A53">
        <v>165960896748502</v>
      </c>
      <c r="B53" t="b">
        <v>1</v>
      </c>
      <c r="C53" t="s">
        <v>126</v>
      </c>
      <c r="D53" t="s">
        <v>348</v>
      </c>
      <c r="E53" t="s">
        <v>349</v>
      </c>
      <c r="F53" t="s">
        <v>350</v>
      </c>
      <c r="G53" t="s">
        <v>32</v>
      </c>
      <c r="H53" t="s">
        <v>33</v>
      </c>
      <c r="I53" t="s">
        <v>351</v>
      </c>
      <c r="J53" t="s">
        <v>352</v>
      </c>
      <c r="K53" t="s">
        <v>353</v>
      </c>
      <c r="L53" t="s">
        <v>354</v>
      </c>
      <c r="M53" t="s">
        <v>355</v>
      </c>
      <c r="N53" t="s">
        <v>39</v>
      </c>
      <c r="O53">
        <v>805</v>
      </c>
      <c r="P53">
        <v>115</v>
      </c>
      <c r="Q53">
        <v>115</v>
      </c>
      <c r="R53">
        <v>115</v>
      </c>
      <c r="S53">
        <v>186</v>
      </c>
      <c r="T53">
        <v>50</v>
      </c>
      <c r="U53">
        <v>0</v>
      </c>
      <c r="V53" t="s">
        <v>356</v>
      </c>
      <c r="W53">
        <v>4.4000000000000004</v>
      </c>
      <c r="X53" t="s">
        <v>126</v>
      </c>
      <c r="Y53" t="s">
        <v>41</v>
      </c>
      <c r="Z53" t="s">
        <v>214</v>
      </c>
      <c r="AA53" t="b">
        <v>1</v>
      </c>
      <c r="AB53">
        <v>0</v>
      </c>
      <c r="AC53" t="str">
        <f t="shared" si="0"/>
        <v>TRYNEW</v>
      </c>
      <c r="AD53" t="str">
        <f>VLOOKUP(K53,'restaurant name correction'!$A$1:$B$44,2,0)</f>
        <v xml:space="preserve">NOTO </v>
      </c>
      <c r="AE53" t="str">
        <f>VLOOKUP(Z53,restaurant_area_correction!$A$1:$B$18,2,0)</f>
        <v>Bellandur</v>
      </c>
      <c r="AF53">
        <f t="shared" si="1"/>
        <v>111.6</v>
      </c>
      <c r="AG53" s="11">
        <f t="shared" si="2"/>
        <v>45326</v>
      </c>
      <c r="AH53" s="12">
        <f t="shared" si="3"/>
        <v>7.2870370371674653E-2</v>
      </c>
      <c r="AI53" t="str">
        <f t="shared" si="4"/>
        <v>Sunday</v>
      </c>
      <c r="AJ53" t="str">
        <f>VLOOKUP(HOUR(Orders[[#This Row],[Time]]),$AQ$1:$AR$7,2,1)</f>
        <v>Early Morning</v>
      </c>
      <c r="AK53" t="str">
        <f>IF(Orders[[#This Row],[rain_mode]]=0,"Sunny","Rainy")</f>
        <v>Sunny</v>
      </c>
    </row>
    <row r="54" spans="1:37" x14ac:dyDescent="0.35">
      <c r="A54">
        <v>165923274381702</v>
      </c>
      <c r="B54" t="b">
        <v>0</v>
      </c>
      <c r="C54" t="s">
        <v>42</v>
      </c>
      <c r="D54" t="s">
        <v>42</v>
      </c>
      <c r="E54" t="s">
        <v>357</v>
      </c>
      <c r="F54" t="s">
        <v>358</v>
      </c>
      <c r="G54" t="s">
        <v>32</v>
      </c>
      <c r="H54" t="s">
        <v>33</v>
      </c>
      <c r="I54" t="s">
        <v>359</v>
      </c>
      <c r="J54" t="s">
        <v>360</v>
      </c>
      <c r="K54" t="s">
        <v>361</v>
      </c>
      <c r="L54" t="s">
        <v>362</v>
      </c>
      <c r="M54" t="s">
        <v>363</v>
      </c>
      <c r="N54" t="s">
        <v>39</v>
      </c>
      <c r="O54">
        <v>1851</v>
      </c>
      <c r="P54">
        <v>222</v>
      </c>
      <c r="Q54">
        <v>222</v>
      </c>
      <c r="R54">
        <v>222</v>
      </c>
      <c r="S54">
        <v>199</v>
      </c>
      <c r="T54">
        <v>46</v>
      </c>
      <c r="U54">
        <v>0</v>
      </c>
      <c r="V54" t="s">
        <v>364</v>
      </c>
      <c r="W54">
        <v>5</v>
      </c>
      <c r="X54" t="s">
        <v>42</v>
      </c>
      <c r="Y54" t="s">
        <v>41</v>
      </c>
      <c r="Z54" t="s">
        <v>290</v>
      </c>
      <c r="AA54" t="b">
        <v>0</v>
      </c>
      <c r="AB54">
        <v>0</v>
      </c>
      <c r="AC54" t="str">
        <f t="shared" si="0"/>
        <v>No Coupon Applied</v>
      </c>
      <c r="AD54" t="str">
        <f>VLOOKUP(K54,'restaurant name correction'!$A$1:$B$44,2,0)</f>
        <v>Baba Ganoush</v>
      </c>
      <c r="AE54" t="str">
        <f>VLOOKUP(Z54,restaurant_area_correction!$A$1:$B$18,2,0)</f>
        <v>Koramangala</v>
      </c>
      <c r="AF54">
        <f t="shared" si="1"/>
        <v>0</v>
      </c>
      <c r="AG54" s="11">
        <f t="shared" si="2"/>
        <v>45325</v>
      </c>
      <c r="AH54" s="12">
        <f t="shared" si="3"/>
        <v>0.63743055555823958</v>
      </c>
      <c r="AI54" t="str">
        <f t="shared" si="4"/>
        <v>Saturday</v>
      </c>
      <c r="AJ54" t="str">
        <f>VLOOKUP(HOUR(Orders[[#This Row],[Time]]),$AQ$1:$AR$7,2,1)</f>
        <v>Afternoon</v>
      </c>
      <c r="AK54" t="str">
        <f>IF(Orders[[#This Row],[rain_mode]]=0,"Sunny","Rainy")</f>
        <v>Sunny</v>
      </c>
    </row>
    <row r="55" spans="1:37" x14ac:dyDescent="0.35">
      <c r="A55">
        <v>165854296189400</v>
      </c>
      <c r="B55" t="b">
        <v>1</v>
      </c>
      <c r="C55" t="s">
        <v>28</v>
      </c>
      <c r="D55" t="s">
        <v>307</v>
      </c>
      <c r="E55" t="s">
        <v>365</v>
      </c>
      <c r="F55" t="s">
        <v>366</v>
      </c>
      <c r="G55" t="s">
        <v>32</v>
      </c>
      <c r="H55" t="s">
        <v>33</v>
      </c>
      <c r="I55" t="s">
        <v>367</v>
      </c>
      <c r="J55" t="s">
        <v>311</v>
      </c>
      <c r="K55" t="s">
        <v>312</v>
      </c>
      <c r="L55" t="s">
        <v>313</v>
      </c>
      <c r="M55" t="s">
        <v>368</v>
      </c>
      <c r="N55" t="s">
        <v>39</v>
      </c>
      <c r="O55">
        <v>3484</v>
      </c>
      <c r="P55">
        <v>212</v>
      </c>
      <c r="Q55">
        <v>212</v>
      </c>
      <c r="R55">
        <v>212</v>
      </c>
      <c r="S55">
        <v>209</v>
      </c>
      <c r="T55">
        <v>56</v>
      </c>
      <c r="U55">
        <v>0</v>
      </c>
      <c r="V55" t="s">
        <v>314</v>
      </c>
      <c r="W55">
        <v>5.9</v>
      </c>
      <c r="X55" t="s">
        <v>28</v>
      </c>
      <c r="Y55" t="s">
        <v>41</v>
      </c>
      <c r="Z55" t="s">
        <v>290</v>
      </c>
      <c r="AA55" t="b">
        <v>0</v>
      </c>
      <c r="AB55">
        <v>0</v>
      </c>
      <c r="AC55" t="str">
        <f t="shared" si="0"/>
        <v>SWIGGYIT</v>
      </c>
      <c r="AD55" t="str">
        <f>VLOOKUP(K55,'restaurant name correction'!$A$1:$B$44,2,0)</f>
        <v>Smoky Docky</v>
      </c>
      <c r="AE55" t="str">
        <f>VLOOKUP(Z55,restaurant_area_correction!$A$1:$B$18,2,0)</f>
        <v>Koramangala</v>
      </c>
      <c r="AF55">
        <f t="shared" si="1"/>
        <v>20.9</v>
      </c>
      <c r="AG55" s="11">
        <f t="shared" si="2"/>
        <v>45324</v>
      </c>
      <c r="AH55" s="12">
        <f t="shared" si="3"/>
        <v>0.83907407407241408</v>
      </c>
      <c r="AI55" t="str">
        <f t="shared" si="4"/>
        <v>Friday</v>
      </c>
      <c r="AJ55" t="str">
        <f>VLOOKUP(HOUR(Orders[[#This Row],[Time]]),$AQ$1:$AR$7,2,1)</f>
        <v>Night</v>
      </c>
      <c r="AK55" t="str">
        <f>IF(Orders[[#This Row],[rain_mode]]=0,"Sunny","Rainy")</f>
        <v>Sunny</v>
      </c>
    </row>
    <row r="56" spans="1:37" x14ac:dyDescent="0.35">
      <c r="A56">
        <v>165409130967084</v>
      </c>
      <c r="B56" t="b">
        <v>0</v>
      </c>
      <c r="C56" t="s">
        <v>42</v>
      </c>
      <c r="D56" t="s">
        <v>42</v>
      </c>
      <c r="E56" t="s">
        <v>369</v>
      </c>
      <c r="F56" t="s">
        <v>370</v>
      </c>
      <c r="G56" t="s">
        <v>32</v>
      </c>
      <c r="H56" t="s">
        <v>33</v>
      </c>
      <c r="I56" t="s">
        <v>371</v>
      </c>
      <c r="J56" t="s">
        <v>311</v>
      </c>
      <c r="K56" t="s">
        <v>312</v>
      </c>
      <c r="L56" t="s">
        <v>313</v>
      </c>
      <c r="M56" t="s">
        <v>368</v>
      </c>
      <c r="N56" t="s">
        <v>39</v>
      </c>
      <c r="O56">
        <v>1732</v>
      </c>
      <c r="P56">
        <v>233</v>
      </c>
      <c r="Q56">
        <v>233</v>
      </c>
      <c r="R56">
        <v>233</v>
      </c>
      <c r="S56">
        <v>209</v>
      </c>
      <c r="T56">
        <v>62</v>
      </c>
      <c r="U56">
        <v>0</v>
      </c>
      <c r="V56" t="s">
        <v>314</v>
      </c>
      <c r="W56">
        <v>5.9</v>
      </c>
      <c r="X56" t="s">
        <v>42</v>
      </c>
      <c r="Y56" t="s">
        <v>92</v>
      </c>
      <c r="Z56" t="s">
        <v>290</v>
      </c>
      <c r="AA56" t="b">
        <v>1</v>
      </c>
      <c r="AB56">
        <v>0</v>
      </c>
      <c r="AC56" t="str">
        <f t="shared" si="0"/>
        <v>No Coupon Applied</v>
      </c>
      <c r="AD56" t="str">
        <f>VLOOKUP(K56,'restaurant name correction'!$A$1:$B$44,2,0)</f>
        <v>Smoky Docky</v>
      </c>
      <c r="AE56" t="str">
        <f>VLOOKUP(Z56,restaurant_area_correction!$A$1:$B$18,2,0)</f>
        <v>Koramangala</v>
      </c>
      <c r="AF56">
        <f t="shared" si="1"/>
        <v>0</v>
      </c>
      <c r="AG56" s="11">
        <f t="shared" si="2"/>
        <v>45319</v>
      </c>
      <c r="AH56" s="12">
        <f t="shared" si="3"/>
        <v>0.68668981481459923</v>
      </c>
      <c r="AI56" t="str">
        <f t="shared" si="4"/>
        <v>Sunday</v>
      </c>
      <c r="AJ56" t="str">
        <f>VLOOKUP(HOUR(Orders[[#This Row],[Time]]),$AQ$1:$AR$7,2,1)</f>
        <v>Evening</v>
      </c>
      <c r="AK56" t="str">
        <f>IF(Orders[[#This Row],[rain_mode]]=0,"Sunny","Rainy")</f>
        <v>Sunny</v>
      </c>
    </row>
    <row r="57" spans="1:37" x14ac:dyDescent="0.35">
      <c r="A57">
        <v>165341581288776</v>
      </c>
      <c r="B57" t="b">
        <v>1</v>
      </c>
      <c r="C57" t="s">
        <v>28</v>
      </c>
      <c r="D57" t="s">
        <v>372</v>
      </c>
      <c r="E57" t="s">
        <v>373</v>
      </c>
      <c r="F57" t="s">
        <v>374</v>
      </c>
      <c r="G57" t="s">
        <v>32</v>
      </c>
      <c r="H57" t="s">
        <v>33</v>
      </c>
      <c r="I57">
        <v>0</v>
      </c>
      <c r="J57" t="s">
        <v>375</v>
      </c>
      <c r="K57" t="s">
        <v>376</v>
      </c>
      <c r="L57" t="s">
        <v>377</v>
      </c>
      <c r="M57" t="s">
        <v>378</v>
      </c>
      <c r="N57" t="s">
        <v>39</v>
      </c>
      <c r="O57">
        <v>1409</v>
      </c>
      <c r="P57">
        <v>599</v>
      </c>
      <c r="Q57">
        <v>599</v>
      </c>
      <c r="R57">
        <v>599</v>
      </c>
      <c r="S57">
        <v>578</v>
      </c>
      <c r="T57">
        <v>0</v>
      </c>
      <c r="U57">
        <v>0</v>
      </c>
      <c r="V57" t="s">
        <v>379</v>
      </c>
      <c r="W57">
        <v>0</v>
      </c>
      <c r="X57" t="s">
        <v>28</v>
      </c>
      <c r="Y57" t="s">
        <v>41</v>
      </c>
      <c r="Z57" t="s">
        <v>114</v>
      </c>
      <c r="AA57" t="b">
        <v>0</v>
      </c>
      <c r="AB57">
        <v>0</v>
      </c>
      <c r="AC57" t="str">
        <f t="shared" si="0"/>
        <v>SWIGGYIT</v>
      </c>
      <c r="AD57" t="str">
        <f>VLOOKUP(K57,'restaurant name correction'!$A$1:$B$44,2,0)</f>
        <v>Domino's Pizza</v>
      </c>
      <c r="AE57" t="str">
        <f>VLOOKUP(Z57,restaurant_area_correction!$A$1:$B$18,2,0)</f>
        <v>HSR</v>
      </c>
      <c r="AF57">
        <f t="shared" si="1"/>
        <v>50</v>
      </c>
      <c r="AG57" s="11">
        <f t="shared" si="2"/>
        <v>45318</v>
      </c>
      <c r="AH57" s="12">
        <f t="shared" si="3"/>
        <v>0.9048726851833635</v>
      </c>
      <c r="AI57" t="str">
        <f t="shared" si="4"/>
        <v>Saturday</v>
      </c>
      <c r="AJ57" t="str">
        <f>VLOOKUP(HOUR(Orders[[#This Row],[Time]]),$AQ$1:$AR$7,2,1)</f>
        <v>Night</v>
      </c>
      <c r="AK57" t="str">
        <f>IF(Orders[[#This Row],[rain_mode]]=0,"Sunny","Rainy")</f>
        <v>Sunny</v>
      </c>
    </row>
    <row r="58" spans="1:37" x14ac:dyDescent="0.35">
      <c r="A58">
        <v>164743294943602</v>
      </c>
      <c r="B58" t="b">
        <v>1</v>
      </c>
      <c r="C58" t="s">
        <v>126</v>
      </c>
      <c r="D58" t="s">
        <v>380</v>
      </c>
      <c r="E58" t="s">
        <v>381</v>
      </c>
      <c r="F58" t="s">
        <v>382</v>
      </c>
      <c r="G58" t="s">
        <v>32</v>
      </c>
      <c r="H58" t="s">
        <v>33</v>
      </c>
      <c r="I58" t="s">
        <v>383</v>
      </c>
      <c r="J58" t="s">
        <v>384</v>
      </c>
      <c r="K58" t="s">
        <v>385</v>
      </c>
      <c r="L58" t="s">
        <v>386</v>
      </c>
      <c r="M58" t="s">
        <v>387</v>
      </c>
      <c r="N58" t="s">
        <v>39</v>
      </c>
      <c r="O58">
        <v>1413</v>
      </c>
      <c r="P58">
        <v>588</v>
      </c>
      <c r="Q58">
        <v>588</v>
      </c>
      <c r="R58">
        <v>588</v>
      </c>
      <c r="S58">
        <v>586.66999999999996</v>
      </c>
      <c r="T58">
        <v>36</v>
      </c>
      <c r="U58">
        <v>0</v>
      </c>
      <c r="V58" t="s">
        <v>388</v>
      </c>
      <c r="W58">
        <v>0.5</v>
      </c>
      <c r="X58" t="s">
        <v>126</v>
      </c>
      <c r="Y58" t="s">
        <v>41</v>
      </c>
      <c r="Z58" t="s">
        <v>114</v>
      </c>
      <c r="AA58" t="b">
        <v>1</v>
      </c>
      <c r="AB58">
        <v>0</v>
      </c>
      <c r="AC58" t="str">
        <f t="shared" si="0"/>
        <v>TRYNEW</v>
      </c>
      <c r="AD58" t="str">
        <f>VLOOKUP(K58,'restaurant name correction'!$A$1:$B$44,2,0)</f>
        <v>The Belgian Waffle Co.</v>
      </c>
      <c r="AE58" t="str">
        <f>VLOOKUP(Z58,restaurant_area_correction!$A$1:$B$18,2,0)</f>
        <v>HSR</v>
      </c>
      <c r="AF58">
        <f t="shared" si="1"/>
        <v>49.99</v>
      </c>
      <c r="AG58" s="11">
        <f t="shared" si="2"/>
        <v>45311</v>
      </c>
      <c r="AH58" s="12">
        <f t="shared" si="3"/>
        <v>0.98025462962687016</v>
      </c>
      <c r="AI58" t="str">
        <f t="shared" si="4"/>
        <v>Saturday</v>
      </c>
      <c r="AJ58" t="str">
        <f>VLOOKUP(HOUR(Orders[[#This Row],[Time]]),$AQ$1:$AR$7,2,1)</f>
        <v>Night</v>
      </c>
      <c r="AK58" t="str">
        <f>IF(Orders[[#This Row],[rain_mode]]=0,"Sunny","Rainy")</f>
        <v>Sunny</v>
      </c>
    </row>
    <row r="59" spans="1:37" x14ac:dyDescent="0.35">
      <c r="A59">
        <v>164714296625099</v>
      </c>
      <c r="B59" t="b">
        <v>0</v>
      </c>
      <c r="C59" t="s">
        <v>42</v>
      </c>
      <c r="D59" t="s">
        <v>42</v>
      </c>
      <c r="E59" t="s">
        <v>389</v>
      </c>
      <c r="F59" t="s">
        <v>390</v>
      </c>
      <c r="G59" t="s">
        <v>32</v>
      </c>
      <c r="H59" t="s">
        <v>33</v>
      </c>
      <c r="I59" t="s">
        <v>391</v>
      </c>
      <c r="J59" t="s">
        <v>311</v>
      </c>
      <c r="K59" t="s">
        <v>312</v>
      </c>
      <c r="L59" t="s">
        <v>313</v>
      </c>
      <c r="M59" t="s">
        <v>368</v>
      </c>
      <c r="N59" t="s">
        <v>39</v>
      </c>
      <c r="O59">
        <v>2746</v>
      </c>
      <c r="P59">
        <v>233</v>
      </c>
      <c r="Q59">
        <v>233</v>
      </c>
      <c r="R59">
        <v>233</v>
      </c>
      <c r="S59">
        <v>209</v>
      </c>
      <c r="T59">
        <v>58</v>
      </c>
      <c r="U59">
        <v>0</v>
      </c>
      <c r="V59" t="s">
        <v>314</v>
      </c>
      <c r="W59">
        <v>5.9</v>
      </c>
      <c r="X59" t="s">
        <v>42</v>
      </c>
      <c r="Y59" t="s">
        <v>41</v>
      </c>
      <c r="Z59" t="s">
        <v>290</v>
      </c>
      <c r="AA59" t="b">
        <v>0</v>
      </c>
      <c r="AB59">
        <v>0</v>
      </c>
      <c r="AC59" t="str">
        <f t="shared" si="0"/>
        <v>No Coupon Applied</v>
      </c>
      <c r="AD59" t="str">
        <f>VLOOKUP(K59,'restaurant name correction'!$A$1:$B$44,2,0)</f>
        <v>Smoky Docky</v>
      </c>
      <c r="AE59" t="str">
        <f>VLOOKUP(Z59,restaurant_area_correction!$A$1:$B$18,2,0)</f>
        <v>Koramangala</v>
      </c>
      <c r="AF59">
        <f t="shared" si="1"/>
        <v>0</v>
      </c>
      <c r="AG59" s="11">
        <f t="shared" si="2"/>
        <v>45311</v>
      </c>
      <c r="AH59" s="12">
        <f t="shared" si="3"/>
        <v>0.64462962962716119</v>
      </c>
      <c r="AI59" t="str">
        <f t="shared" si="4"/>
        <v>Saturday</v>
      </c>
      <c r="AJ59" t="str">
        <f>VLOOKUP(HOUR(Orders[[#This Row],[Time]]),$AQ$1:$AR$7,2,1)</f>
        <v>Afternoon</v>
      </c>
      <c r="AK59" t="str">
        <f>IF(Orders[[#This Row],[rain_mode]]=0,"Sunny","Rainy")</f>
        <v>Sunny</v>
      </c>
    </row>
    <row r="60" spans="1:37" x14ac:dyDescent="0.35">
      <c r="A60">
        <v>164376172877898</v>
      </c>
      <c r="B60" t="b">
        <v>1</v>
      </c>
      <c r="C60" t="s">
        <v>392</v>
      </c>
      <c r="D60" t="s">
        <v>393</v>
      </c>
      <c r="E60" t="s">
        <v>394</v>
      </c>
      <c r="F60" t="s">
        <v>395</v>
      </c>
      <c r="G60" t="s">
        <v>32</v>
      </c>
      <c r="H60" t="s">
        <v>33</v>
      </c>
      <c r="I60" t="s">
        <v>396</v>
      </c>
      <c r="J60" t="s">
        <v>330</v>
      </c>
      <c r="K60" t="s">
        <v>56</v>
      </c>
      <c r="L60" t="s">
        <v>331</v>
      </c>
      <c r="M60" t="s">
        <v>214</v>
      </c>
      <c r="N60" t="s">
        <v>39</v>
      </c>
      <c r="O60">
        <v>2411</v>
      </c>
      <c r="P60">
        <v>886</v>
      </c>
      <c r="Q60">
        <v>886</v>
      </c>
      <c r="R60">
        <v>886</v>
      </c>
      <c r="S60">
        <v>913.5</v>
      </c>
      <c r="T60">
        <v>78</v>
      </c>
      <c r="U60">
        <v>0</v>
      </c>
      <c r="V60" t="s">
        <v>332</v>
      </c>
      <c r="W60">
        <v>6.2</v>
      </c>
      <c r="X60" t="s">
        <v>392</v>
      </c>
      <c r="Y60" t="s">
        <v>41</v>
      </c>
      <c r="Z60" t="s">
        <v>333</v>
      </c>
      <c r="AA60" t="b">
        <v>1</v>
      </c>
      <c r="AB60">
        <v>0</v>
      </c>
      <c r="AC60" t="str">
        <f t="shared" si="0"/>
        <v>FLAT100</v>
      </c>
      <c r="AD60" t="str">
        <f>VLOOKUP(K60,'restaurant name correction'!$A$1:$B$44,2,0)</f>
        <v xml:space="preserve">The Ganache Factory </v>
      </c>
      <c r="AE60" t="str">
        <f>VLOOKUP(Z60,restaurant_area_correction!$A$1:$B$18,2,0)</f>
        <v>Devarabeesanahalli</v>
      </c>
      <c r="AF60">
        <f t="shared" si="1"/>
        <v>99.99</v>
      </c>
      <c r="AG60" s="11">
        <f t="shared" si="2"/>
        <v>45307</v>
      </c>
      <c r="AH60" s="12">
        <f t="shared" si="3"/>
        <v>0.73115740740468027</v>
      </c>
      <c r="AI60" t="str">
        <f t="shared" si="4"/>
        <v>Tuesday</v>
      </c>
      <c r="AJ60" t="str">
        <f>VLOOKUP(HOUR(Orders[[#This Row],[Time]]),$AQ$1:$AR$7,2,1)</f>
        <v>Evening</v>
      </c>
      <c r="AK60" t="str">
        <f>IF(Orders[[#This Row],[rain_mode]]=0,"Sunny","Rainy")</f>
        <v>Sunny</v>
      </c>
    </row>
    <row r="61" spans="1:37" x14ac:dyDescent="0.35">
      <c r="A61">
        <v>164376027513893</v>
      </c>
      <c r="B61" t="b">
        <v>1</v>
      </c>
      <c r="C61" t="s">
        <v>392</v>
      </c>
      <c r="D61" t="s">
        <v>397</v>
      </c>
      <c r="E61" t="s">
        <v>398</v>
      </c>
      <c r="F61" t="s">
        <v>399</v>
      </c>
      <c r="G61" t="s">
        <v>32</v>
      </c>
      <c r="H61" t="s">
        <v>195</v>
      </c>
      <c r="I61">
        <v>0</v>
      </c>
      <c r="J61" t="s">
        <v>55</v>
      </c>
      <c r="K61" t="s">
        <v>56</v>
      </c>
      <c r="L61" t="s">
        <v>57</v>
      </c>
      <c r="M61" t="s">
        <v>58</v>
      </c>
      <c r="N61" t="s">
        <v>39</v>
      </c>
      <c r="O61">
        <v>0</v>
      </c>
      <c r="P61">
        <v>885</v>
      </c>
      <c r="Q61">
        <v>885</v>
      </c>
      <c r="R61">
        <v>885</v>
      </c>
      <c r="S61">
        <v>913.5</v>
      </c>
      <c r="T61">
        <v>92</v>
      </c>
      <c r="U61">
        <v>0</v>
      </c>
      <c r="V61" t="s">
        <v>59</v>
      </c>
      <c r="W61">
        <v>8.4</v>
      </c>
      <c r="X61" t="s">
        <v>392</v>
      </c>
      <c r="Y61" t="s">
        <v>41</v>
      </c>
      <c r="Z61" t="s">
        <v>60</v>
      </c>
      <c r="AA61" t="b">
        <v>0</v>
      </c>
      <c r="AB61">
        <v>0</v>
      </c>
      <c r="AC61" t="str">
        <f t="shared" si="0"/>
        <v>FLAT100</v>
      </c>
      <c r="AD61" t="str">
        <f>VLOOKUP(K61,'restaurant name correction'!$A$1:$B$44,2,0)</f>
        <v xml:space="preserve">The Ganache Factory </v>
      </c>
      <c r="AE61" t="str">
        <f>VLOOKUP(Z61,restaurant_area_correction!$A$1:$B$18,2,0)</f>
        <v>Jayanagar</v>
      </c>
      <c r="AF61">
        <f t="shared" si="1"/>
        <v>99.99</v>
      </c>
      <c r="AG61" s="11">
        <f t="shared" si="2"/>
        <v>45307</v>
      </c>
      <c r="AH61" s="12">
        <f t="shared" si="3"/>
        <v>0.72947916666453239</v>
      </c>
      <c r="AI61" t="str">
        <f t="shared" si="4"/>
        <v>Tuesday</v>
      </c>
      <c r="AJ61" t="str">
        <f>VLOOKUP(HOUR(Orders[[#This Row],[Time]]),$AQ$1:$AR$7,2,1)</f>
        <v>Evening</v>
      </c>
      <c r="AK61" t="str">
        <f>IF(Orders[[#This Row],[rain_mode]]=0,"Sunny","Rainy")</f>
        <v>Sunny</v>
      </c>
    </row>
    <row r="62" spans="1:37" x14ac:dyDescent="0.35">
      <c r="A62">
        <v>164191765873335</v>
      </c>
      <c r="B62" t="b">
        <v>1</v>
      </c>
      <c r="C62" t="s">
        <v>261</v>
      </c>
      <c r="D62" t="s">
        <v>400</v>
      </c>
      <c r="E62" t="s">
        <v>401</v>
      </c>
      <c r="F62" t="s">
        <v>402</v>
      </c>
      <c r="G62" t="s">
        <v>32</v>
      </c>
      <c r="H62" t="s">
        <v>33</v>
      </c>
      <c r="I62" t="s">
        <v>403</v>
      </c>
      <c r="J62" t="s">
        <v>404</v>
      </c>
      <c r="K62" t="s">
        <v>405</v>
      </c>
      <c r="L62" t="s">
        <v>406</v>
      </c>
      <c r="M62" t="s">
        <v>363</v>
      </c>
      <c r="N62" t="s">
        <v>39</v>
      </c>
      <c r="O62">
        <v>3551</v>
      </c>
      <c r="P62">
        <v>466</v>
      </c>
      <c r="Q62">
        <v>466</v>
      </c>
      <c r="R62">
        <v>466</v>
      </c>
      <c r="S62">
        <v>496</v>
      </c>
      <c r="T62">
        <v>52</v>
      </c>
      <c r="U62">
        <v>0</v>
      </c>
      <c r="V62" t="s">
        <v>407</v>
      </c>
      <c r="W62">
        <v>5.2</v>
      </c>
      <c r="X62" t="s">
        <v>261</v>
      </c>
      <c r="Y62" t="s">
        <v>41</v>
      </c>
      <c r="Z62" t="s">
        <v>290</v>
      </c>
      <c r="AA62" t="b">
        <v>0</v>
      </c>
      <c r="AB62">
        <v>0</v>
      </c>
      <c r="AC62" t="str">
        <f t="shared" si="0"/>
        <v>FLATDEAL</v>
      </c>
      <c r="AD62" t="str">
        <f>VLOOKUP(K62,'restaurant name correction'!$A$1:$B$44,2,0)</f>
        <v>Paratha Envy</v>
      </c>
      <c r="AE62" t="str">
        <f>VLOOKUP(Z62,restaurant_area_correction!$A$1:$B$18,2,0)</f>
        <v>Koramangala</v>
      </c>
      <c r="AF62">
        <f t="shared" si="1"/>
        <v>99.99</v>
      </c>
      <c r="AG62" s="11">
        <f t="shared" si="2"/>
        <v>45305</v>
      </c>
      <c r="AH62" s="12">
        <f t="shared" si="3"/>
        <v>0.59681712962628808</v>
      </c>
      <c r="AI62" t="str">
        <f t="shared" si="4"/>
        <v>Sunday</v>
      </c>
      <c r="AJ62" t="str">
        <f>VLOOKUP(HOUR(Orders[[#This Row],[Time]]),$AQ$1:$AR$7,2,1)</f>
        <v>Afternoon</v>
      </c>
      <c r="AK62" t="str">
        <f>IF(Orders[[#This Row],[rain_mode]]=0,"Sunny","Rainy")</f>
        <v>Sunny</v>
      </c>
    </row>
    <row r="63" spans="1:37" x14ac:dyDescent="0.35">
      <c r="A63">
        <v>163711888473406</v>
      </c>
      <c r="B63" t="b">
        <v>0</v>
      </c>
      <c r="C63" t="s">
        <v>42</v>
      </c>
      <c r="D63" t="s">
        <v>42</v>
      </c>
      <c r="E63" t="s">
        <v>408</v>
      </c>
      <c r="F63" t="s">
        <v>409</v>
      </c>
      <c r="G63" t="s">
        <v>32</v>
      </c>
      <c r="H63" t="s">
        <v>33</v>
      </c>
      <c r="I63" t="s">
        <v>410</v>
      </c>
      <c r="J63" t="s">
        <v>411</v>
      </c>
      <c r="K63" t="s">
        <v>412</v>
      </c>
      <c r="L63" t="s">
        <v>413</v>
      </c>
      <c r="M63" t="s">
        <v>114</v>
      </c>
      <c r="N63" t="s">
        <v>39</v>
      </c>
      <c r="O63">
        <v>1000</v>
      </c>
      <c r="P63">
        <v>270</v>
      </c>
      <c r="Q63">
        <v>270</v>
      </c>
      <c r="R63">
        <v>270</v>
      </c>
      <c r="S63">
        <v>220</v>
      </c>
      <c r="T63">
        <v>36</v>
      </c>
      <c r="U63">
        <v>0</v>
      </c>
      <c r="V63" t="s">
        <v>414</v>
      </c>
      <c r="W63">
        <v>0.4</v>
      </c>
      <c r="X63" t="s">
        <v>42</v>
      </c>
      <c r="Y63" t="s">
        <v>41</v>
      </c>
      <c r="Z63" t="s">
        <v>114</v>
      </c>
      <c r="AA63" t="b">
        <v>0</v>
      </c>
      <c r="AB63">
        <v>0</v>
      </c>
      <c r="AC63" t="str">
        <f t="shared" si="0"/>
        <v>No Coupon Applied</v>
      </c>
      <c r="AD63" t="str">
        <f>VLOOKUP(K63,'restaurant name correction'!$A$1:$B$44,2,0)</f>
        <v>McDonald's</v>
      </c>
      <c r="AE63" t="str">
        <f>VLOOKUP(Z63,restaurant_area_correction!$A$1:$B$18,2,0)</f>
        <v>HSR</v>
      </c>
      <c r="AF63">
        <f t="shared" si="1"/>
        <v>0</v>
      </c>
      <c r="AG63" s="11">
        <f t="shared" si="2"/>
        <v>45300</v>
      </c>
      <c r="AH63" s="12">
        <f t="shared" si="3"/>
        <v>4.2685185188020114E-2</v>
      </c>
      <c r="AI63" t="str">
        <f t="shared" si="4"/>
        <v>Tuesday</v>
      </c>
      <c r="AJ63" t="str">
        <f>VLOOKUP(HOUR(Orders[[#This Row],[Time]]),$AQ$1:$AR$7,2,1)</f>
        <v>Early Morning</v>
      </c>
      <c r="AK63" t="str">
        <f>IF(Orders[[#This Row],[rain_mode]]=0,"Sunny","Rainy")</f>
        <v>Sunny</v>
      </c>
    </row>
    <row r="64" spans="1:37" x14ac:dyDescent="0.35">
      <c r="A64">
        <v>163004675209983</v>
      </c>
      <c r="B64" t="b">
        <v>1</v>
      </c>
      <c r="C64" t="s">
        <v>126</v>
      </c>
      <c r="D64" t="s">
        <v>415</v>
      </c>
      <c r="E64" t="s">
        <v>416</v>
      </c>
      <c r="F64" t="s">
        <v>417</v>
      </c>
      <c r="G64" t="s">
        <v>32</v>
      </c>
      <c r="H64" t="s">
        <v>33</v>
      </c>
      <c r="I64" t="s">
        <v>418</v>
      </c>
      <c r="J64" t="s">
        <v>330</v>
      </c>
      <c r="K64" t="s">
        <v>56</v>
      </c>
      <c r="L64" t="s">
        <v>331</v>
      </c>
      <c r="M64" t="s">
        <v>214</v>
      </c>
      <c r="N64" t="s">
        <v>39</v>
      </c>
      <c r="O64">
        <v>2664</v>
      </c>
      <c r="P64">
        <v>342</v>
      </c>
      <c r="Q64">
        <v>342</v>
      </c>
      <c r="R64">
        <v>342</v>
      </c>
      <c r="S64">
        <v>357</v>
      </c>
      <c r="T64">
        <v>76</v>
      </c>
      <c r="U64">
        <v>0</v>
      </c>
      <c r="V64" t="s">
        <v>332</v>
      </c>
      <c r="W64">
        <v>6.2</v>
      </c>
      <c r="X64" t="s">
        <v>126</v>
      </c>
      <c r="Y64" t="s">
        <v>41</v>
      </c>
      <c r="Z64" t="s">
        <v>333</v>
      </c>
      <c r="AA64" t="b">
        <v>0</v>
      </c>
      <c r="AB64">
        <v>0</v>
      </c>
      <c r="AC64" t="str">
        <f t="shared" si="0"/>
        <v>TRYNEW</v>
      </c>
      <c r="AD64" t="str">
        <f>VLOOKUP(K64,'restaurant name correction'!$A$1:$B$44,2,0)</f>
        <v xml:space="preserve">The Ganache Factory </v>
      </c>
      <c r="AE64" t="str">
        <f>VLOOKUP(Z64,restaurant_area_correction!$A$1:$B$18,2,0)</f>
        <v>Devarabeesanahalli</v>
      </c>
      <c r="AF64">
        <f t="shared" si="1"/>
        <v>35.700000000000003</v>
      </c>
      <c r="AG64" s="11">
        <f t="shared" si="2"/>
        <v>45291</v>
      </c>
      <c r="AH64" s="12">
        <f t="shared" si="3"/>
        <v>0.85734953703649808</v>
      </c>
      <c r="AI64" t="str">
        <f t="shared" si="4"/>
        <v>Sunday</v>
      </c>
      <c r="AJ64" t="str">
        <f>VLOOKUP(HOUR(Orders[[#This Row],[Time]]),$AQ$1:$AR$7,2,1)</f>
        <v>Night</v>
      </c>
      <c r="AK64" t="str">
        <f>IF(Orders[[#This Row],[rain_mode]]=0,"Sunny","Rainy")</f>
        <v>Sunny</v>
      </c>
    </row>
    <row r="65" spans="1:37" x14ac:dyDescent="0.35">
      <c r="A65">
        <v>163004361179135</v>
      </c>
      <c r="B65" t="b">
        <v>0</v>
      </c>
      <c r="C65" t="s">
        <v>42</v>
      </c>
      <c r="D65" t="s">
        <v>42</v>
      </c>
      <c r="E65" t="s">
        <v>419</v>
      </c>
      <c r="F65" t="s">
        <v>420</v>
      </c>
      <c r="G65" t="s">
        <v>32</v>
      </c>
      <c r="H65" t="s">
        <v>33</v>
      </c>
      <c r="I65" t="s">
        <v>421</v>
      </c>
      <c r="J65" t="s">
        <v>295</v>
      </c>
      <c r="K65" t="s">
        <v>88</v>
      </c>
      <c r="L65" t="s">
        <v>296</v>
      </c>
      <c r="M65" t="s">
        <v>279</v>
      </c>
      <c r="N65" t="s">
        <v>39</v>
      </c>
      <c r="O65">
        <v>1889</v>
      </c>
      <c r="P65">
        <v>467</v>
      </c>
      <c r="Q65">
        <v>467</v>
      </c>
      <c r="R65">
        <v>467</v>
      </c>
      <c r="S65">
        <v>400</v>
      </c>
      <c r="T65">
        <v>31</v>
      </c>
      <c r="U65">
        <v>0</v>
      </c>
      <c r="V65" t="s">
        <v>422</v>
      </c>
      <c r="W65">
        <v>2.1</v>
      </c>
      <c r="X65" t="s">
        <v>42</v>
      </c>
      <c r="Y65" t="s">
        <v>41</v>
      </c>
      <c r="Z65" t="s">
        <v>114</v>
      </c>
      <c r="AA65" t="b">
        <v>0</v>
      </c>
      <c r="AB65">
        <v>0</v>
      </c>
      <c r="AC65" t="str">
        <f t="shared" si="0"/>
        <v>No Coupon Applied</v>
      </c>
      <c r="AD65" t="str">
        <f>VLOOKUP(K65,'restaurant name correction'!$A$1:$B$44,2,0)</f>
        <v>Daily Sushi</v>
      </c>
      <c r="AE65" t="str">
        <f>VLOOKUP(Z65,restaurant_area_correction!$A$1:$B$18,2,0)</f>
        <v>HSR</v>
      </c>
      <c r="AF65">
        <f t="shared" si="1"/>
        <v>0</v>
      </c>
      <c r="AG65" s="11">
        <f t="shared" si="2"/>
        <v>45291</v>
      </c>
      <c r="AH65" s="12">
        <f t="shared" si="3"/>
        <v>0.85371527777897427</v>
      </c>
      <c r="AI65" t="str">
        <f t="shared" si="4"/>
        <v>Sunday</v>
      </c>
      <c r="AJ65" t="str">
        <f>VLOOKUP(HOUR(Orders[[#This Row],[Time]]),$AQ$1:$AR$7,2,1)</f>
        <v>Night</v>
      </c>
      <c r="AK65" t="str">
        <f>IF(Orders[[#This Row],[rain_mode]]=0,"Sunny","Rainy")</f>
        <v>Sunny</v>
      </c>
    </row>
    <row r="66" spans="1:37" x14ac:dyDescent="0.35">
      <c r="A66">
        <v>162553743923962</v>
      </c>
      <c r="B66" t="b">
        <v>1</v>
      </c>
      <c r="C66" t="s">
        <v>423</v>
      </c>
      <c r="D66" t="s">
        <v>424</v>
      </c>
      <c r="E66" t="s">
        <v>425</v>
      </c>
      <c r="F66" t="s">
        <v>426</v>
      </c>
      <c r="G66" t="s">
        <v>32</v>
      </c>
      <c r="H66" t="s">
        <v>33</v>
      </c>
      <c r="I66" t="s">
        <v>427</v>
      </c>
      <c r="J66" t="s">
        <v>428</v>
      </c>
      <c r="K66" t="s">
        <v>429</v>
      </c>
      <c r="L66" t="s">
        <v>430</v>
      </c>
      <c r="M66" t="s">
        <v>431</v>
      </c>
      <c r="N66" t="s">
        <v>39</v>
      </c>
      <c r="O66">
        <v>1788</v>
      </c>
      <c r="P66">
        <v>788</v>
      </c>
      <c r="Q66">
        <v>788</v>
      </c>
      <c r="R66">
        <v>788</v>
      </c>
      <c r="S66">
        <v>920</v>
      </c>
      <c r="T66">
        <v>40</v>
      </c>
      <c r="U66">
        <v>0</v>
      </c>
      <c r="V66" t="s">
        <v>432</v>
      </c>
      <c r="W66">
        <v>2.8</v>
      </c>
      <c r="X66" t="s">
        <v>423</v>
      </c>
      <c r="Y66" t="s">
        <v>41</v>
      </c>
      <c r="Z66" t="s">
        <v>433</v>
      </c>
      <c r="AA66" t="b">
        <v>0</v>
      </c>
      <c r="AB66">
        <v>0</v>
      </c>
      <c r="AC66" t="str">
        <f t="shared" si="0"/>
        <v>CELEBRATIONS</v>
      </c>
      <c r="AD66" t="str">
        <f>VLOOKUP(K66,'restaurant name correction'!$A$1:$B$44,2,0)</f>
        <v>Burger Seigneur</v>
      </c>
      <c r="AE66" t="str">
        <f>VLOOKUP(Z66,restaurant_area_correction!$A$1:$B$18,2,0)</f>
        <v>Hosapalya</v>
      </c>
      <c r="AF66">
        <f t="shared" si="1"/>
        <v>174.99</v>
      </c>
      <c r="AG66" s="11">
        <f t="shared" si="2"/>
        <v>45286</v>
      </c>
      <c r="AH66" s="12">
        <f t="shared" si="3"/>
        <v>0.63822916666686069</v>
      </c>
      <c r="AI66" t="str">
        <f t="shared" si="4"/>
        <v>Tuesday</v>
      </c>
      <c r="AJ66" t="str">
        <f>VLOOKUP(HOUR(Orders[[#This Row],[Time]]),$AQ$1:$AR$7,2,1)</f>
        <v>Afternoon</v>
      </c>
      <c r="AK66" t="str">
        <f>IF(Orders[[#This Row],[rain_mode]]=0,"Sunny","Rainy")</f>
        <v>Sunny</v>
      </c>
    </row>
    <row r="67" spans="1:37" x14ac:dyDescent="0.35">
      <c r="A67">
        <v>162461263812077</v>
      </c>
      <c r="B67" t="b">
        <v>1</v>
      </c>
      <c r="C67" t="s">
        <v>50</v>
      </c>
      <c r="D67" t="s">
        <v>434</v>
      </c>
      <c r="E67" t="s">
        <v>435</v>
      </c>
      <c r="F67" t="s">
        <v>436</v>
      </c>
      <c r="G67" t="s">
        <v>32</v>
      </c>
      <c r="H67" t="s">
        <v>33</v>
      </c>
      <c r="I67" t="s">
        <v>437</v>
      </c>
      <c r="J67" t="s">
        <v>428</v>
      </c>
      <c r="K67" t="s">
        <v>429</v>
      </c>
      <c r="L67" t="s">
        <v>430</v>
      </c>
      <c r="M67" t="s">
        <v>431</v>
      </c>
      <c r="N67" t="s">
        <v>39</v>
      </c>
      <c r="O67">
        <v>1389</v>
      </c>
      <c r="P67">
        <v>372</v>
      </c>
      <c r="Q67">
        <v>372</v>
      </c>
      <c r="R67">
        <v>372</v>
      </c>
      <c r="S67">
        <v>430</v>
      </c>
      <c r="T67">
        <v>40</v>
      </c>
      <c r="U67">
        <v>0</v>
      </c>
      <c r="V67" t="s">
        <v>432</v>
      </c>
      <c r="W67">
        <v>2.7</v>
      </c>
      <c r="X67" t="s">
        <v>50</v>
      </c>
      <c r="Y67" t="s">
        <v>41</v>
      </c>
      <c r="Z67" t="s">
        <v>433</v>
      </c>
      <c r="AA67" t="b">
        <v>1</v>
      </c>
      <c r="AB67">
        <v>0</v>
      </c>
      <c r="AC67" t="str">
        <f t="shared" ref="AC67:AC108" si="5">IF(X67="","No Coupon Applied",X67)</f>
        <v>MISSEDYOU</v>
      </c>
      <c r="AD67" t="str">
        <f>VLOOKUP(K67,'restaurant name correction'!$A$1:$B$44,2,0)</f>
        <v>Burger Seigneur</v>
      </c>
      <c r="AE67" t="str">
        <f>VLOOKUP(Z67,restaurant_area_correction!$A$1:$B$18,2,0)</f>
        <v>Hosapalya</v>
      </c>
      <c r="AF67">
        <f t="shared" ref="AF67:AF108" si="6">VALUE(IFERROR(MID(D67,FIND(":",D67,FIND("total_offer_discount",D67))+1,FIND(",",D67,FIND("total_offer_discount",D67)) - FIND(":",D67,FIND("total_offer_discount",D67))-1),0))</f>
        <v>80</v>
      </c>
      <c r="AG67" s="11">
        <f t="shared" ref="AG67:AG108" si="7">DATEVALUE(E67)</f>
        <v>45285</v>
      </c>
      <c r="AH67" s="12">
        <f t="shared" ref="AH67:AH108" si="8">TIMEVALUE(E67)</f>
        <v>0.56785879629751435</v>
      </c>
      <c r="AI67" t="str">
        <f t="shared" ref="AI67:AI108" si="9">TEXT(AG67,"dddd")</f>
        <v>Monday</v>
      </c>
      <c r="AJ67" t="str">
        <f>VLOOKUP(HOUR(Orders[[#This Row],[Time]]),$AQ$1:$AR$7,2,1)</f>
        <v>Afternoon</v>
      </c>
      <c r="AK67" t="str">
        <f>IF(Orders[[#This Row],[rain_mode]]=0,"Sunny","Rainy")</f>
        <v>Sunny</v>
      </c>
    </row>
    <row r="68" spans="1:37" x14ac:dyDescent="0.35">
      <c r="A68">
        <v>161080636531967</v>
      </c>
      <c r="B68" t="b">
        <v>1</v>
      </c>
      <c r="C68" t="s">
        <v>28</v>
      </c>
      <c r="D68" t="s">
        <v>438</v>
      </c>
      <c r="E68" t="s">
        <v>439</v>
      </c>
      <c r="F68" t="s">
        <v>440</v>
      </c>
      <c r="G68" t="s">
        <v>32</v>
      </c>
      <c r="H68" t="s">
        <v>33</v>
      </c>
      <c r="I68" t="s">
        <v>441</v>
      </c>
      <c r="J68" t="s">
        <v>256</v>
      </c>
      <c r="K68" t="s">
        <v>257</v>
      </c>
      <c r="L68" t="s">
        <v>258</v>
      </c>
      <c r="M68" t="s">
        <v>112</v>
      </c>
      <c r="N68" t="s">
        <v>39</v>
      </c>
      <c r="O68">
        <v>1080</v>
      </c>
      <c r="P68">
        <v>355</v>
      </c>
      <c r="Q68">
        <v>355</v>
      </c>
      <c r="R68">
        <v>355</v>
      </c>
      <c r="S68">
        <v>399</v>
      </c>
      <c r="T68">
        <v>33</v>
      </c>
      <c r="U68">
        <v>0</v>
      </c>
      <c r="V68" t="s">
        <v>259</v>
      </c>
      <c r="W68">
        <v>1.9</v>
      </c>
      <c r="X68" t="s">
        <v>28</v>
      </c>
      <c r="Y68" t="s">
        <v>41</v>
      </c>
      <c r="Z68" t="s">
        <v>260</v>
      </c>
      <c r="AA68" t="b">
        <v>1</v>
      </c>
      <c r="AB68">
        <v>0</v>
      </c>
      <c r="AC68" t="str">
        <f t="shared" si="5"/>
        <v>SWIGGYIT</v>
      </c>
      <c r="AD68" t="str">
        <f>VLOOKUP(K68,'restaurant name correction'!$A$1:$B$44,2,0)</f>
        <v>Subway</v>
      </c>
      <c r="AE68" t="str">
        <f>VLOOKUP(Z68,restaurant_area_correction!$A$1:$B$18,2,0)</f>
        <v>HSR</v>
      </c>
      <c r="AF68">
        <f t="shared" si="6"/>
        <v>80</v>
      </c>
      <c r="AG68" s="11">
        <f t="shared" si="7"/>
        <v>45269</v>
      </c>
      <c r="AH68" s="12">
        <f t="shared" si="8"/>
        <v>0.58837962963298196</v>
      </c>
      <c r="AI68" t="str">
        <f t="shared" si="9"/>
        <v>Saturday</v>
      </c>
      <c r="AJ68" t="str">
        <f>VLOOKUP(HOUR(Orders[[#This Row],[Time]]),$AQ$1:$AR$7,2,1)</f>
        <v>Afternoon</v>
      </c>
      <c r="AK68" t="str">
        <f>IF(Orders[[#This Row],[rain_mode]]=0,"Sunny","Rainy")</f>
        <v>Sunny</v>
      </c>
    </row>
    <row r="69" spans="1:37" x14ac:dyDescent="0.35">
      <c r="A69">
        <v>160474594456670</v>
      </c>
      <c r="B69" t="b">
        <v>1</v>
      </c>
      <c r="C69" t="s">
        <v>50</v>
      </c>
      <c r="D69" t="s">
        <v>442</v>
      </c>
      <c r="E69" t="s">
        <v>443</v>
      </c>
      <c r="F69" t="s">
        <v>444</v>
      </c>
      <c r="G69" t="s">
        <v>32</v>
      </c>
      <c r="H69" t="s">
        <v>33</v>
      </c>
      <c r="I69" t="s">
        <v>445</v>
      </c>
      <c r="J69" t="s">
        <v>256</v>
      </c>
      <c r="K69" t="s">
        <v>257</v>
      </c>
      <c r="L69" t="s">
        <v>258</v>
      </c>
      <c r="M69" t="s">
        <v>112</v>
      </c>
      <c r="N69" t="s">
        <v>39</v>
      </c>
      <c r="O69">
        <v>2671</v>
      </c>
      <c r="P69">
        <v>354</v>
      </c>
      <c r="Q69">
        <v>354</v>
      </c>
      <c r="R69">
        <v>354</v>
      </c>
      <c r="S69">
        <v>398</v>
      </c>
      <c r="T69">
        <v>32</v>
      </c>
      <c r="U69">
        <v>0</v>
      </c>
      <c r="V69" t="s">
        <v>259</v>
      </c>
      <c r="W69">
        <v>1.9</v>
      </c>
      <c r="X69" t="s">
        <v>50</v>
      </c>
      <c r="Y69" t="s">
        <v>41</v>
      </c>
      <c r="Z69" t="s">
        <v>260</v>
      </c>
      <c r="AA69" t="b">
        <v>0</v>
      </c>
      <c r="AB69">
        <v>0</v>
      </c>
      <c r="AC69" t="str">
        <f t="shared" si="5"/>
        <v>MISSEDYOU</v>
      </c>
      <c r="AD69" t="str">
        <f>VLOOKUP(K69,'restaurant name correction'!$A$1:$B$44,2,0)</f>
        <v>Subway</v>
      </c>
      <c r="AE69" t="str">
        <f>VLOOKUP(Z69,restaurant_area_correction!$A$1:$B$18,2,0)</f>
        <v>HSR</v>
      </c>
      <c r="AF69">
        <f t="shared" si="6"/>
        <v>80</v>
      </c>
      <c r="AG69" s="11">
        <f t="shared" si="7"/>
        <v>45262</v>
      </c>
      <c r="AH69" s="12">
        <f t="shared" si="8"/>
        <v>0.57400462962687016</v>
      </c>
      <c r="AI69" t="str">
        <f t="shared" si="9"/>
        <v>Saturday</v>
      </c>
      <c r="AJ69" t="str">
        <f>VLOOKUP(HOUR(Orders[[#This Row],[Time]]),$AQ$1:$AR$7,2,1)</f>
        <v>Afternoon</v>
      </c>
      <c r="AK69" t="str">
        <f>IF(Orders[[#This Row],[rain_mode]]=0,"Sunny","Rainy")</f>
        <v>Sunny</v>
      </c>
    </row>
    <row r="70" spans="1:37" x14ac:dyDescent="0.35">
      <c r="A70">
        <v>159955886050893</v>
      </c>
      <c r="B70" t="b">
        <v>1</v>
      </c>
      <c r="C70" t="s">
        <v>28</v>
      </c>
      <c r="D70" t="s">
        <v>446</v>
      </c>
      <c r="E70" t="s">
        <v>447</v>
      </c>
      <c r="F70" t="s">
        <v>448</v>
      </c>
      <c r="G70" t="s">
        <v>32</v>
      </c>
      <c r="H70" t="s">
        <v>33</v>
      </c>
      <c r="I70" t="s">
        <v>449</v>
      </c>
      <c r="J70" t="s">
        <v>450</v>
      </c>
      <c r="K70" t="s">
        <v>451</v>
      </c>
      <c r="L70" t="s">
        <v>452</v>
      </c>
      <c r="M70" t="s">
        <v>453</v>
      </c>
      <c r="N70" t="s">
        <v>39</v>
      </c>
      <c r="O70">
        <v>1550</v>
      </c>
      <c r="P70">
        <v>284</v>
      </c>
      <c r="Q70">
        <v>284</v>
      </c>
      <c r="R70">
        <v>284</v>
      </c>
      <c r="S70">
        <v>375</v>
      </c>
      <c r="T70">
        <v>41</v>
      </c>
      <c r="U70">
        <v>0</v>
      </c>
      <c r="V70" t="s">
        <v>454</v>
      </c>
      <c r="W70">
        <v>3.3</v>
      </c>
      <c r="X70" t="s">
        <v>28</v>
      </c>
      <c r="Y70" t="s">
        <v>41</v>
      </c>
      <c r="Z70" t="s">
        <v>455</v>
      </c>
      <c r="AA70" t="b">
        <v>0</v>
      </c>
      <c r="AB70">
        <v>0</v>
      </c>
      <c r="AC70" t="str">
        <f t="shared" si="5"/>
        <v>SWIGGYIT</v>
      </c>
      <c r="AD70" t="str">
        <f>VLOOKUP(K70,'restaurant name correction'!$A$1:$B$44,2,0)</f>
        <v>Tharavadu family restaurant</v>
      </c>
      <c r="AE70" t="str">
        <f>VLOOKUP(Z70,restaurant_area_correction!$A$1:$B$18,2,0)</f>
        <v>Bommanahalli</v>
      </c>
      <c r="AF70">
        <f t="shared" si="6"/>
        <v>120</v>
      </c>
      <c r="AG70" s="11">
        <f t="shared" si="7"/>
        <v>45256</v>
      </c>
      <c r="AH70" s="12">
        <f t="shared" si="8"/>
        <v>0.57043981481547235</v>
      </c>
      <c r="AI70" t="str">
        <f t="shared" si="9"/>
        <v>Sunday</v>
      </c>
      <c r="AJ70" t="str">
        <f>VLOOKUP(HOUR(Orders[[#This Row],[Time]]),$AQ$1:$AR$7,2,1)</f>
        <v>Afternoon</v>
      </c>
      <c r="AK70" t="str">
        <f>IF(Orders[[#This Row],[rain_mode]]=0,"Sunny","Rainy")</f>
        <v>Sunny</v>
      </c>
    </row>
    <row r="71" spans="1:37" x14ac:dyDescent="0.35">
      <c r="A71">
        <v>159700431113615</v>
      </c>
      <c r="B71" t="b">
        <v>1</v>
      </c>
      <c r="C71" t="s">
        <v>261</v>
      </c>
      <c r="D71" t="s">
        <v>456</v>
      </c>
      <c r="E71" t="s">
        <v>457</v>
      </c>
      <c r="F71" t="s">
        <v>458</v>
      </c>
      <c r="G71" t="s">
        <v>32</v>
      </c>
      <c r="H71" t="s">
        <v>33</v>
      </c>
      <c r="I71" t="s">
        <v>459</v>
      </c>
      <c r="J71" t="s">
        <v>460</v>
      </c>
      <c r="K71" t="s">
        <v>461</v>
      </c>
      <c r="L71" t="s">
        <v>462</v>
      </c>
      <c r="M71" t="s">
        <v>463</v>
      </c>
      <c r="N71" t="s">
        <v>39</v>
      </c>
      <c r="O71">
        <v>1673</v>
      </c>
      <c r="P71">
        <v>455</v>
      </c>
      <c r="Q71">
        <v>455</v>
      </c>
      <c r="R71">
        <v>455</v>
      </c>
      <c r="S71">
        <v>530</v>
      </c>
      <c r="T71">
        <v>29</v>
      </c>
      <c r="U71">
        <v>0</v>
      </c>
      <c r="V71" t="s">
        <v>464</v>
      </c>
      <c r="W71">
        <v>2.2999999999999998</v>
      </c>
      <c r="X71" t="s">
        <v>261</v>
      </c>
      <c r="Y71" t="s">
        <v>41</v>
      </c>
      <c r="Z71" t="s">
        <v>465</v>
      </c>
      <c r="AA71" t="b">
        <v>0</v>
      </c>
      <c r="AB71">
        <v>0</v>
      </c>
      <c r="AC71" t="str">
        <f t="shared" si="5"/>
        <v>FLATDEAL</v>
      </c>
      <c r="AD71" t="str">
        <f>VLOOKUP(K71,'restaurant name correction'!$A$1:$B$44,2,0)</f>
        <v>The Best Thickshakes Co</v>
      </c>
      <c r="AE71" t="str">
        <f>VLOOKUP(Z71,restaurant_area_correction!$A$1:$B$18,2,0)</f>
        <v>HSR</v>
      </c>
      <c r="AF71">
        <f t="shared" si="6"/>
        <v>100</v>
      </c>
      <c r="AG71" s="11">
        <f t="shared" si="7"/>
        <v>45253</v>
      </c>
      <c r="AH71" s="12">
        <f t="shared" si="8"/>
        <v>0.61378472221986158</v>
      </c>
      <c r="AI71" t="str">
        <f t="shared" si="9"/>
        <v>Thursday</v>
      </c>
      <c r="AJ71" t="str">
        <f>VLOOKUP(HOUR(Orders[[#This Row],[Time]]),$AQ$1:$AR$7,2,1)</f>
        <v>Afternoon</v>
      </c>
      <c r="AK71" t="str">
        <f>IF(Orders[[#This Row],[rain_mode]]=0,"Sunny","Rainy")</f>
        <v>Sunny</v>
      </c>
    </row>
    <row r="72" spans="1:37" x14ac:dyDescent="0.35">
      <c r="A72">
        <v>159024606634682</v>
      </c>
      <c r="B72" t="b">
        <v>1</v>
      </c>
      <c r="C72" t="s">
        <v>466</v>
      </c>
      <c r="D72" t="s">
        <v>467</v>
      </c>
      <c r="E72" t="s">
        <v>468</v>
      </c>
      <c r="F72" t="s">
        <v>469</v>
      </c>
      <c r="G72" t="s">
        <v>32</v>
      </c>
      <c r="H72" t="s">
        <v>33</v>
      </c>
      <c r="I72" t="s">
        <v>470</v>
      </c>
      <c r="J72" t="s">
        <v>450</v>
      </c>
      <c r="K72" t="s">
        <v>451</v>
      </c>
      <c r="L72" t="s">
        <v>452</v>
      </c>
      <c r="M72" t="s">
        <v>453</v>
      </c>
      <c r="N72" t="s">
        <v>39</v>
      </c>
      <c r="O72">
        <v>2047</v>
      </c>
      <c r="P72">
        <v>380</v>
      </c>
      <c r="Q72">
        <v>380</v>
      </c>
      <c r="R72">
        <v>380</v>
      </c>
      <c r="S72">
        <v>540</v>
      </c>
      <c r="T72">
        <v>44</v>
      </c>
      <c r="U72">
        <v>0</v>
      </c>
      <c r="V72" t="s">
        <v>454</v>
      </c>
      <c r="W72">
        <v>3.3</v>
      </c>
      <c r="X72" t="s">
        <v>466</v>
      </c>
      <c r="Y72" t="s">
        <v>41</v>
      </c>
      <c r="Z72" t="s">
        <v>455</v>
      </c>
      <c r="AA72" t="b">
        <v>0</v>
      </c>
      <c r="AB72">
        <v>0</v>
      </c>
      <c r="AC72" t="str">
        <f t="shared" si="5"/>
        <v>KINGK50</v>
      </c>
      <c r="AD72" t="str">
        <f>VLOOKUP(K72,'restaurant name correction'!$A$1:$B$44,2,0)</f>
        <v>Tharavadu family restaurant</v>
      </c>
      <c r="AE72" t="str">
        <f>VLOOKUP(Z72,restaurant_area_correction!$A$1:$B$18,2,0)</f>
        <v>Bommanahalli</v>
      </c>
      <c r="AF72">
        <f t="shared" si="6"/>
        <v>50.01</v>
      </c>
      <c r="AG72" s="11">
        <f t="shared" si="7"/>
        <v>45245</v>
      </c>
      <c r="AH72" s="12">
        <f t="shared" si="8"/>
        <v>0.79173611111036735</v>
      </c>
      <c r="AI72" t="str">
        <f t="shared" si="9"/>
        <v>Wednesday</v>
      </c>
      <c r="AJ72" t="str">
        <f>VLOOKUP(HOUR(Orders[[#This Row],[Time]]),$AQ$1:$AR$7,2,1)</f>
        <v>Evening</v>
      </c>
      <c r="AK72" t="str">
        <f>IF(Orders[[#This Row],[rain_mode]]=0,"Sunny","Rainy")</f>
        <v>Sunny</v>
      </c>
    </row>
    <row r="73" spans="1:37" x14ac:dyDescent="0.35">
      <c r="A73">
        <v>158421216354293</v>
      </c>
      <c r="B73" t="b">
        <v>0</v>
      </c>
      <c r="C73" t="s">
        <v>42</v>
      </c>
      <c r="D73" t="s">
        <v>42</v>
      </c>
      <c r="E73" t="s">
        <v>471</v>
      </c>
      <c r="F73" t="s">
        <v>472</v>
      </c>
      <c r="G73" t="s">
        <v>32</v>
      </c>
      <c r="H73" t="s">
        <v>33</v>
      </c>
      <c r="I73" t="s">
        <v>473</v>
      </c>
      <c r="J73" t="s">
        <v>474</v>
      </c>
      <c r="K73" t="s">
        <v>475</v>
      </c>
      <c r="L73" t="s">
        <v>476</v>
      </c>
      <c r="M73" t="s">
        <v>477</v>
      </c>
      <c r="N73" t="s">
        <v>39</v>
      </c>
      <c r="O73">
        <v>2006</v>
      </c>
      <c r="P73">
        <v>221</v>
      </c>
      <c r="Q73">
        <v>221</v>
      </c>
      <c r="R73">
        <v>221</v>
      </c>
      <c r="S73">
        <v>268</v>
      </c>
      <c r="T73">
        <v>32</v>
      </c>
      <c r="U73">
        <v>0</v>
      </c>
      <c r="V73" t="s">
        <v>478</v>
      </c>
      <c r="W73">
        <v>2.1</v>
      </c>
      <c r="X73" t="s">
        <v>42</v>
      </c>
      <c r="Y73" t="s">
        <v>41</v>
      </c>
      <c r="Z73" t="s">
        <v>114</v>
      </c>
      <c r="AA73" t="b">
        <v>0</v>
      </c>
      <c r="AB73">
        <v>0</v>
      </c>
      <c r="AC73" t="str">
        <f t="shared" si="5"/>
        <v>No Coupon Applied</v>
      </c>
      <c r="AD73" t="str">
        <f>VLOOKUP(K73,'restaurant name correction'!$A$1:$B$44,2,0)</f>
        <v>Wow! Momo</v>
      </c>
      <c r="AE73" t="str">
        <f>VLOOKUP(Z73,restaurant_area_correction!$A$1:$B$18,2,0)</f>
        <v>HSR</v>
      </c>
      <c r="AF73">
        <f t="shared" si="6"/>
        <v>0</v>
      </c>
      <c r="AG73" s="11">
        <f t="shared" si="7"/>
        <v>45238</v>
      </c>
      <c r="AH73" s="12">
        <f t="shared" si="8"/>
        <v>0.80805555555707542</v>
      </c>
      <c r="AI73" t="str">
        <f t="shared" si="9"/>
        <v>Wednesday</v>
      </c>
      <c r="AJ73" t="str">
        <f>VLOOKUP(HOUR(Orders[[#This Row],[Time]]),$AQ$1:$AR$7,2,1)</f>
        <v>Evening</v>
      </c>
      <c r="AK73" t="str">
        <f>IF(Orders[[#This Row],[rain_mode]]=0,"Sunny","Rainy")</f>
        <v>Sunny</v>
      </c>
    </row>
    <row r="74" spans="1:37" x14ac:dyDescent="0.35">
      <c r="A74">
        <v>158334414702466</v>
      </c>
      <c r="B74" t="b">
        <v>0</v>
      </c>
      <c r="C74" t="s">
        <v>42</v>
      </c>
      <c r="D74" t="s">
        <v>42</v>
      </c>
      <c r="E74" t="s">
        <v>479</v>
      </c>
      <c r="F74" t="s">
        <v>480</v>
      </c>
      <c r="G74" t="s">
        <v>32</v>
      </c>
      <c r="H74" t="s">
        <v>33</v>
      </c>
      <c r="I74" t="s">
        <v>481</v>
      </c>
      <c r="J74" t="s">
        <v>210</v>
      </c>
      <c r="K74" t="s">
        <v>36</v>
      </c>
      <c r="L74" t="s">
        <v>211</v>
      </c>
      <c r="M74" t="s">
        <v>482</v>
      </c>
      <c r="N74" t="s">
        <v>39</v>
      </c>
      <c r="O74">
        <v>3013</v>
      </c>
      <c r="P74">
        <v>287</v>
      </c>
      <c r="Q74">
        <v>287</v>
      </c>
      <c r="R74">
        <v>287</v>
      </c>
      <c r="S74">
        <v>245</v>
      </c>
      <c r="T74">
        <v>72</v>
      </c>
      <c r="U74">
        <v>0</v>
      </c>
      <c r="V74" t="s">
        <v>483</v>
      </c>
      <c r="W74">
        <v>5.4</v>
      </c>
      <c r="X74" t="s">
        <v>42</v>
      </c>
      <c r="Y74" t="s">
        <v>41</v>
      </c>
      <c r="Z74" t="s">
        <v>214</v>
      </c>
      <c r="AA74" t="b">
        <v>0</v>
      </c>
      <c r="AB74">
        <v>2</v>
      </c>
      <c r="AC74" t="str">
        <f t="shared" si="5"/>
        <v>No Coupon Applied</v>
      </c>
      <c r="AD74" t="str">
        <f>VLOOKUP(K74,'restaurant name correction'!$A$1:$B$44,2,0)</f>
        <v xml:space="preserve">Paris Panini </v>
      </c>
      <c r="AE74" t="str">
        <f>VLOOKUP(Z74,restaurant_area_correction!$A$1:$B$18,2,0)</f>
        <v>Bellandur</v>
      </c>
      <c r="AF74">
        <f t="shared" si="6"/>
        <v>0</v>
      </c>
      <c r="AG74" s="11">
        <f t="shared" si="7"/>
        <v>45237</v>
      </c>
      <c r="AH74" s="12">
        <f t="shared" si="8"/>
        <v>0.80340277777577285</v>
      </c>
      <c r="AI74" t="str">
        <f t="shared" si="9"/>
        <v>Tuesday</v>
      </c>
      <c r="AJ74" t="str">
        <f>VLOOKUP(HOUR(Orders[[#This Row],[Time]]),$AQ$1:$AR$7,2,1)</f>
        <v>Evening</v>
      </c>
      <c r="AK74" t="str">
        <f>IF(Orders[[#This Row],[rain_mode]]=0,"Sunny","Rainy")</f>
        <v>Rainy</v>
      </c>
    </row>
    <row r="75" spans="1:37" x14ac:dyDescent="0.35">
      <c r="A75">
        <v>158133339719955</v>
      </c>
      <c r="B75" t="b">
        <v>1</v>
      </c>
      <c r="C75" t="s">
        <v>484</v>
      </c>
      <c r="D75" t="s">
        <v>485</v>
      </c>
      <c r="E75" t="s">
        <v>486</v>
      </c>
      <c r="F75" t="s">
        <v>487</v>
      </c>
      <c r="G75" t="s">
        <v>32</v>
      </c>
      <c r="H75" t="s">
        <v>33</v>
      </c>
      <c r="I75" t="s">
        <v>488</v>
      </c>
      <c r="J75" t="s">
        <v>235</v>
      </c>
      <c r="K75" t="s">
        <v>236</v>
      </c>
      <c r="L75" t="s">
        <v>237</v>
      </c>
      <c r="M75" t="s">
        <v>114</v>
      </c>
      <c r="N75" t="s">
        <v>39</v>
      </c>
      <c r="O75">
        <v>1495</v>
      </c>
      <c r="P75">
        <v>251</v>
      </c>
      <c r="Q75">
        <v>251</v>
      </c>
      <c r="R75">
        <v>251</v>
      </c>
      <c r="S75">
        <v>349</v>
      </c>
      <c r="T75">
        <v>31</v>
      </c>
      <c r="U75">
        <v>0</v>
      </c>
      <c r="V75" t="s">
        <v>489</v>
      </c>
      <c r="W75">
        <v>1.6</v>
      </c>
      <c r="X75" t="s">
        <v>484</v>
      </c>
      <c r="Y75" t="s">
        <v>41</v>
      </c>
      <c r="Z75" t="s">
        <v>114</v>
      </c>
      <c r="AA75" t="b">
        <v>0</v>
      </c>
      <c r="AB75">
        <v>0</v>
      </c>
      <c r="AC75" t="str">
        <f t="shared" si="5"/>
        <v>WORLDCUPMANIA</v>
      </c>
      <c r="AD75" t="str">
        <f>VLOOKUP(K75,'restaurant name correction'!$A$1:$B$44,2,0)</f>
        <v xml:space="preserve">Leon's </v>
      </c>
      <c r="AE75" t="str">
        <f>VLOOKUP(Z75,restaurant_area_correction!$A$1:$B$18,2,0)</f>
        <v>HSR</v>
      </c>
      <c r="AF75">
        <f t="shared" si="6"/>
        <v>150</v>
      </c>
      <c r="AG75" s="11">
        <f t="shared" si="7"/>
        <v>45235</v>
      </c>
      <c r="AH75" s="12">
        <f t="shared" si="8"/>
        <v>0.47614583333051996</v>
      </c>
      <c r="AI75" t="str">
        <f t="shared" si="9"/>
        <v>Sunday</v>
      </c>
      <c r="AJ75" t="str">
        <f>VLOOKUP(HOUR(Orders[[#This Row],[Time]]),$AQ$1:$AR$7,2,1)</f>
        <v>Late Morning</v>
      </c>
      <c r="AK75" t="str">
        <f>IF(Orders[[#This Row],[rain_mode]]=0,"Sunny","Rainy")</f>
        <v>Sunny</v>
      </c>
    </row>
    <row r="76" spans="1:37" x14ac:dyDescent="0.35">
      <c r="A76">
        <v>158078123542130</v>
      </c>
      <c r="B76" t="b">
        <v>1</v>
      </c>
      <c r="C76" t="s">
        <v>484</v>
      </c>
      <c r="D76" t="s">
        <v>490</v>
      </c>
      <c r="E76" t="s">
        <v>491</v>
      </c>
      <c r="F76" t="s">
        <v>492</v>
      </c>
      <c r="G76" t="s">
        <v>32</v>
      </c>
      <c r="H76" t="s">
        <v>33</v>
      </c>
      <c r="I76" t="s">
        <v>493</v>
      </c>
      <c r="J76" t="s">
        <v>295</v>
      </c>
      <c r="K76" t="s">
        <v>88</v>
      </c>
      <c r="L76" t="s">
        <v>296</v>
      </c>
      <c r="M76" t="s">
        <v>279</v>
      </c>
      <c r="N76" t="s">
        <v>39</v>
      </c>
      <c r="O76">
        <v>2736</v>
      </c>
      <c r="P76">
        <v>333</v>
      </c>
      <c r="Q76">
        <v>333</v>
      </c>
      <c r="R76">
        <v>333</v>
      </c>
      <c r="S76">
        <v>420</v>
      </c>
      <c r="T76">
        <v>40</v>
      </c>
      <c r="U76">
        <v>0</v>
      </c>
      <c r="V76" t="s">
        <v>422</v>
      </c>
      <c r="W76">
        <v>2.1</v>
      </c>
      <c r="X76" t="s">
        <v>484</v>
      </c>
      <c r="Y76" t="s">
        <v>41</v>
      </c>
      <c r="Z76" t="s">
        <v>114</v>
      </c>
      <c r="AA76" t="b">
        <v>1</v>
      </c>
      <c r="AB76">
        <v>0</v>
      </c>
      <c r="AC76" t="str">
        <f t="shared" si="5"/>
        <v>WORLDCUPMANIA</v>
      </c>
      <c r="AD76" t="str">
        <f>VLOOKUP(K76,'restaurant name correction'!$A$1:$B$44,2,0)</f>
        <v>Daily Sushi</v>
      </c>
      <c r="AE76" t="str">
        <f>VLOOKUP(Z76,restaurant_area_correction!$A$1:$B$18,2,0)</f>
        <v>HSR</v>
      </c>
      <c r="AF76">
        <f t="shared" si="6"/>
        <v>150</v>
      </c>
      <c r="AG76" s="11">
        <f t="shared" si="7"/>
        <v>45234</v>
      </c>
      <c r="AH76" s="12">
        <f t="shared" si="8"/>
        <v>0.83707175926247146</v>
      </c>
      <c r="AI76" t="str">
        <f t="shared" si="9"/>
        <v>Saturday</v>
      </c>
      <c r="AJ76" t="str">
        <f>VLOOKUP(HOUR(Orders[[#This Row],[Time]]),$AQ$1:$AR$7,2,1)</f>
        <v>Night</v>
      </c>
      <c r="AK76" t="str">
        <f>IF(Orders[[#This Row],[rain_mode]]=0,"Sunny","Rainy")</f>
        <v>Sunny</v>
      </c>
    </row>
    <row r="77" spans="1:37" x14ac:dyDescent="0.35">
      <c r="A77">
        <v>158041541026826</v>
      </c>
      <c r="B77" t="b">
        <v>0</v>
      </c>
      <c r="C77" t="s">
        <v>42</v>
      </c>
      <c r="D77" t="s">
        <v>42</v>
      </c>
      <c r="E77" t="s">
        <v>494</v>
      </c>
      <c r="F77" t="s">
        <v>495</v>
      </c>
      <c r="G77" t="s">
        <v>32</v>
      </c>
      <c r="H77" t="s">
        <v>33</v>
      </c>
      <c r="I77" t="s">
        <v>496</v>
      </c>
      <c r="J77" t="s">
        <v>497</v>
      </c>
      <c r="K77" t="s">
        <v>498</v>
      </c>
      <c r="L77" t="s">
        <v>499</v>
      </c>
      <c r="M77" t="s">
        <v>112</v>
      </c>
      <c r="N77" t="s">
        <v>39</v>
      </c>
      <c r="O77">
        <v>2540</v>
      </c>
      <c r="P77">
        <v>191</v>
      </c>
      <c r="Q77">
        <v>191</v>
      </c>
      <c r="R77">
        <v>191</v>
      </c>
      <c r="S77">
        <v>169</v>
      </c>
      <c r="T77">
        <v>33</v>
      </c>
      <c r="U77">
        <v>0</v>
      </c>
      <c r="V77" t="s">
        <v>500</v>
      </c>
      <c r="W77">
        <v>2.1</v>
      </c>
      <c r="X77" t="s">
        <v>42</v>
      </c>
      <c r="Y77" t="s">
        <v>41</v>
      </c>
      <c r="Z77" t="s">
        <v>114</v>
      </c>
      <c r="AA77" t="b">
        <v>0</v>
      </c>
      <c r="AB77">
        <v>0</v>
      </c>
      <c r="AC77" t="str">
        <f t="shared" si="5"/>
        <v>No Coupon Applied</v>
      </c>
      <c r="AD77" t="str">
        <f>VLOOKUP(K77,'restaurant name correction'!$A$1:$B$44,2,0)</f>
        <v>Dosa Chicken &amp; Tiffins</v>
      </c>
      <c r="AE77" t="str">
        <f>VLOOKUP(Z77,restaurant_area_correction!$A$1:$B$18,2,0)</f>
        <v>HSR</v>
      </c>
      <c r="AF77">
        <f t="shared" si="6"/>
        <v>0</v>
      </c>
      <c r="AG77" s="11">
        <f t="shared" si="7"/>
        <v>45234</v>
      </c>
      <c r="AH77" s="12">
        <f t="shared" si="8"/>
        <v>0.41366898148407927</v>
      </c>
      <c r="AI77" t="str">
        <f t="shared" si="9"/>
        <v>Saturday</v>
      </c>
      <c r="AJ77" t="str">
        <f>VLOOKUP(HOUR(Orders[[#This Row],[Time]]),$AQ$1:$AR$7,2,1)</f>
        <v>Late Morning</v>
      </c>
      <c r="AK77" t="str">
        <f>IF(Orders[[#This Row],[rain_mode]]=0,"Sunny","Rainy")</f>
        <v>Sunny</v>
      </c>
    </row>
    <row r="78" spans="1:37" x14ac:dyDescent="0.35">
      <c r="A78">
        <v>157279336071863</v>
      </c>
      <c r="B78" t="b">
        <v>1</v>
      </c>
      <c r="C78" t="s">
        <v>28</v>
      </c>
      <c r="D78" t="s">
        <v>501</v>
      </c>
      <c r="E78" t="s">
        <v>502</v>
      </c>
      <c r="F78" t="s">
        <v>503</v>
      </c>
      <c r="G78" t="s">
        <v>32</v>
      </c>
      <c r="H78" t="s">
        <v>33</v>
      </c>
      <c r="I78" t="s">
        <v>504</v>
      </c>
      <c r="J78" t="s">
        <v>235</v>
      </c>
      <c r="K78" t="s">
        <v>236</v>
      </c>
      <c r="L78" t="s">
        <v>237</v>
      </c>
      <c r="M78" t="s">
        <v>114</v>
      </c>
      <c r="N78" t="s">
        <v>39</v>
      </c>
      <c r="O78">
        <v>782</v>
      </c>
      <c r="P78">
        <v>298</v>
      </c>
      <c r="Q78">
        <v>298</v>
      </c>
      <c r="R78">
        <v>298</v>
      </c>
      <c r="S78">
        <v>295.86</v>
      </c>
      <c r="T78">
        <v>30</v>
      </c>
      <c r="U78">
        <v>0</v>
      </c>
      <c r="V78" t="s">
        <v>489</v>
      </c>
      <c r="W78">
        <v>0.2</v>
      </c>
      <c r="X78" t="s">
        <v>28</v>
      </c>
      <c r="Y78" t="s">
        <v>41</v>
      </c>
      <c r="Z78" t="s">
        <v>114</v>
      </c>
      <c r="AA78" t="b">
        <v>1</v>
      </c>
      <c r="AB78">
        <v>0</v>
      </c>
      <c r="AC78" t="str">
        <f t="shared" si="5"/>
        <v>SWIGGYIT</v>
      </c>
      <c r="AD78" t="str">
        <f>VLOOKUP(K78,'restaurant name correction'!$A$1:$B$44,2,0)</f>
        <v xml:space="preserve">Leon's </v>
      </c>
      <c r="AE78" t="str">
        <f>VLOOKUP(Z78,restaurant_area_correction!$A$1:$B$18,2,0)</f>
        <v>HSR</v>
      </c>
      <c r="AF78">
        <f t="shared" si="6"/>
        <v>50</v>
      </c>
      <c r="AG78" s="11">
        <f t="shared" si="7"/>
        <v>45225</v>
      </c>
      <c r="AH78" s="12">
        <f t="shared" si="8"/>
        <v>0.59185185185197042</v>
      </c>
      <c r="AI78" t="str">
        <f t="shared" si="9"/>
        <v>Thursday</v>
      </c>
      <c r="AJ78" t="str">
        <f>VLOOKUP(HOUR(Orders[[#This Row],[Time]]),$AQ$1:$AR$7,2,1)</f>
        <v>Afternoon</v>
      </c>
      <c r="AK78" t="str">
        <f>IF(Orders[[#This Row],[rain_mode]]=0,"Sunny","Rainy")</f>
        <v>Sunny</v>
      </c>
    </row>
    <row r="79" spans="1:37" x14ac:dyDescent="0.35">
      <c r="A79">
        <v>157212479386394</v>
      </c>
      <c r="B79" t="b">
        <v>0</v>
      </c>
      <c r="C79" t="s">
        <v>42</v>
      </c>
      <c r="D79" t="s">
        <v>42</v>
      </c>
      <c r="E79" t="s">
        <v>505</v>
      </c>
      <c r="F79" t="s">
        <v>506</v>
      </c>
      <c r="G79" t="s">
        <v>32</v>
      </c>
      <c r="H79" t="s">
        <v>33</v>
      </c>
      <c r="I79" t="s">
        <v>507</v>
      </c>
      <c r="J79" t="s">
        <v>508</v>
      </c>
      <c r="K79" t="s">
        <v>509</v>
      </c>
      <c r="L79" t="s">
        <v>510</v>
      </c>
      <c r="M79" t="s">
        <v>378</v>
      </c>
      <c r="N79" t="s">
        <v>39</v>
      </c>
      <c r="O79">
        <v>661</v>
      </c>
      <c r="P79">
        <v>167</v>
      </c>
      <c r="Q79">
        <v>167</v>
      </c>
      <c r="R79">
        <v>167</v>
      </c>
      <c r="S79">
        <v>149</v>
      </c>
      <c r="T79">
        <v>42</v>
      </c>
      <c r="U79">
        <v>0</v>
      </c>
      <c r="V79" t="s">
        <v>511</v>
      </c>
      <c r="W79">
        <v>0.6</v>
      </c>
      <c r="X79" t="s">
        <v>42</v>
      </c>
      <c r="Y79" t="s">
        <v>41</v>
      </c>
      <c r="Z79" t="s">
        <v>114</v>
      </c>
      <c r="AA79" t="b">
        <v>1</v>
      </c>
      <c r="AB79">
        <v>0</v>
      </c>
      <c r="AC79" t="str">
        <f t="shared" si="5"/>
        <v>No Coupon Applied</v>
      </c>
      <c r="AD79" t="str">
        <f>VLOOKUP(K79,'restaurant name correction'!$A$1:$B$44,2,0)</f>
        <v>The Himalayan Momo Company</v>
      </c>
      <c r="AE79" t="str">
        <f>VLOOKUP(Z79,restaurant_area_correction!$A$1:$B$18,2,0)</f>
        <v>HSR</v>
      </c>
      <c r="AF79">
        <f t="shared" si="6"/>
        <v>0</v>
      </c>
      <c r="AG79" s="11">
        <f t="shared" si="7"/>
        <v>45224</v>
      </c>
      <c r="AH79" s="12">
        <f t="shared" si="8"/>
        <v>0.81804398148233304</v>
      </c>
      <c r="AI79" t="str">
        <f t="shared" si="9"/>
        <v>Wednesday</v>
      </c>
      <c r="AJ79" t="str">
        <f>VLOOKUP(HOUR(Orders[[#This Row],[Time]]),$AQ$1:$AR$7,2,1)</f>
        <v>Evening</v>
      </c>
      <c r="AK79" t="str">
        <f>IF(Orders[[#This Row],[rain_mode]]=0,"Sunny","Rainy")</f>
        <v>Sunny</v>
      </c>
    </row>
    <row r="80" spans="1:37" x14ac:dyDescent="0.35">
      <c r="A80">
        <v>157095860714592</v>
      </c>
      <c r="B80" t="b">
        <v>1</v>
      </c>
      <c r="C80" t="s">
        <v>512</v>
      </c>
      <c r="D80" t="s">
        <v>513</v>
      </c>
      <c r="E80" t="s">
        <v>514</v>
      </c>
      <c r="F80" t="s">
        <v>515</v>
      </c>
      <c r="G80" t="s">
        <v>32</v>
      </c>
      <c r="H80" t="s">
        <v>33</v>
      </c>
      <c r="I80" t="s">
        <v>516</v>
      </c>
      <c r="J80" t="s">
        <v>517</v>
      </c>
      <c r="K80" t="s">
        <v>405</v>
      </c>
      <c r="L80" t="s">
        <v>518</v>
      </c>
      <c r="M80" t="s">
        <v>355</v>
      </c>
      <c r="N80" t="s">
        <v>39</v>
      </c>
      <c r="O80">
        <v>2007</v>
      </c>
      <c r="P80">
        <v>300</v>
      </c>
      <c r="Q80">
        <v>300</v>
      </c>
      <c r="R80">
        <v>300</v>
      </c>
      <c r="S80">
        <v>357</v>
      </c>
      <c r="T80">
        <v>41</v>
      </c>
      <c r="U80">
        <v>0</v>
      </c>
      <c r="V80" t="s">
        <v>519</v>
      </c>
      <c r="W80">
        <v>5</v>
      </c>
      <c r="X80" t="s">
        <v>512</v>
      </c>
      <c r="Y80" t="s">
        <v>520</v>
      </c>
      <c r="Z80" t="s">
        <v>212</v>
      </c>
      <c r="AA80" t="b">
        <v>1</v>
      </c>
      <c r="AB80">
        <v>0</v>
      </c>
      <c r="AC80" t="str">
        <f t="shared" si="5"/>
        <v>LUNCHBINGE</v>
      </c>
      <c r="AD80" t="str">
        <f>VLOOKUP(K80,'restaurant name correction'!$A$1:$B$44,2,0)</f>
        <v>Paratha Envy</v>
      </c>
      <c r="AE80" t="str">
        <f>VLOOKUP(Z80,restaurant_area_correction!$A$1:$B$18,2,0)</f>
        <v>Sarjapur</v>
      </c>
      <c r="AF80">
        <f t="shared" si="6"/>
        <v>99.99</v>
      </c>
      <c r="AG80" s="11">
        <f t="shared" si="7"/>
        <v>45223</v>
      </c>
      <c r="AH80" s="12">
        <f t="shared" si="8"/>
        <v>0.46828703703795327</v>
      </c>
      <c r="AI80" t="str">
        <f t="shared" si="9"/>
        <v>Tuesday</v>
      </c>
      <c r="AJ80" t="str">
        <f>VLOOKUP(HOUR(Orders[[#This Row],[Time]]),$AQ$1:$AR$7,2,1)</f>
        <v>Late Morning</v>
      </c>
      <c r="AK80" t="str">
        <f>IF(Orders[[#This Row],[rain_mode]]=0,"Sunny","Rainy")</f>
        <v>Sunny</v>
      </c>
    </row>
    <row r="81" spans="1:37" x14ac:dyDescent="0.35">
      <c r="A81">
        <v>156956128612767</v>
      </c>
      <c r="B81" t="b">
        <v>1</v>
      </c>
      <c r="C81" t="s">
        <v>484</v>
      </c>
      <c r="D81" t="s">
        <v>521</v>
      </c>
      <c r="E81" t="s">
        <v>522</v>
      </c>
      <c r="F81" t="s">
        <v>523</v>
      </c>
      <c r="G81" t="s">
        <v>32</v>
      </c>
      <c r="H81" t="s">
        <v>33</v>
      </c>
      <c r="I81" t="s">
        <v>524</v>
      </c>
      <c r="J81" t="s">
        <v>235</v>
      </c>
      <c r="K81" t="s">
        <v>236</v>
      </c>
      <c r="L81" t="s">
        <v>237</v>
      </c>
      <c r="M81" t="s">
        <v>114</v>
      </c>
      <c r="N81" t="s">
        <v>39</v>
      </c>
      <c r="O81">
        <v>927</v>
      </c>
      <c r="P81">
        <v>221</v>
      </c>
      <c r="Q81">
        <v>221</v>
      </c>
      <c r="R81">
        <v>221</v>
      </c>
      <c r="S81">
        <v>320.86</v>
      </c>
      <c r="T81">
        <v>33</v>
      </c>
      <c r="U81">
        <v>0</v>
      </c>
      <c r="V81" t="s">
        <v>489</v>
      </c>
      <c r="W81">
        <v>1.3</v>
      </c>
      <c r="X81" t="s">
        <v>484</v>
      </c>
      <c r="Y81" t="s">
        <v>520</v>
      </c>
      <c r="Z81" t="s">
        <v>114</v>
      </c>
      <c r="AA81" t="b">
        <v>0</v>
      </c>
      <c r="AB81">
        <v>0</v>
      </c>
      <c r="AC81" t="str">
        <f t="shared" si="5"/>
        <v>WORLDCUPMANIA</v>
      </c>
      <c r="AD81" t="str">
        <f>VLOOKUP(K81,'restaurant name correction'!$A$1:$B$44,2,0)</f>
        <v xml:space="preserve">Leon's </v>
      </c>
      <c r="AE81" t="str">
        <f>VLOOKUP(Z81,restaurant_area_correction!$A$1:$B$18,2,0)</f>
        <v>HSR</v>
      </c>
      <c r="AF81">
        <f t="shared" si="6"/>
        <v>150</v>
      </c>
      <c r="AG81" s="11">
        <f t="shared" si="7"/>
        <v>45221</v>
      </c>
      <c r="AH81" s="12">
        <f t="shared" si="8"/>
        <v>0.85101851851504762</v>
      </c>
      <c r="AI81" t="str">
        <f t="shared" si="9"/>
        <v>Sunday</v>
      </c>
      <c r="AJ81" t="str">
        <f>VLOOKUP(HOUR(Orders[[#This Row],[Time]]),$AQ$1:$AR$7,2,1)</f>
        <v>Night</v>
      </c>
      <c r="AK81" t="str">
        <f>IF(Orders[[#This Row],[rain_mode]]=0,"Sunny","Rainy")</f>
        <v>Sunny</v>
      </c>
    </row>
    <row r="82" spans="1:37" x14ac:dyDescent="0.35">
      <c r="A82">
        <v>156923241346336</v>
      </c>
      <c r="B82" t="b">
        <v>1</v>
      </c>
      <c r="C82" t="s">
        <v>484</v>
      </c>
      <c r="D82" t="s">
        <v>525</v>
      </c>
      <c r="E82" t="s">
        <v>526</v>
      </c>
      <c r="F82" t="s">
        <v>527</v>
      </c>
      <c r="G82" t="s">
        <v>32</v>
      </c>
      <c r="H82" t="s">
        <v>33</v>
      </c>
      <c r="I82" t="s">
        <v>528</v>
      </c>
      <c r="J82" t="s">
        <v>450</v>
      </c>
      <c r="K82" t="s">
        <v>451</v>
      </c>
      <c r="L82" t="s">
        <v>452</v>
      </c>
      <c r="M82" t="s">
        <v>453</v>
      </c>
      <c r="N82" t="s">
        <v>39</v>
      </c>
      <c r="O82">
        <v>1957</v>
      </c>
      <c r="P82">
        <v>289</v>
      </c>
      <c r="Q82">
        <v>289</v>
      </c>
      <c r="R82">
        <v>289</v>
      </c>
      <c r="S82">
        <v>410</v>
      </c>
      <c r="T82">
        <v>41</v>
      </c>
      <c r="U82">
        <v>0</v>
      </c>
      <c r="V82" t="s">
        <v>454</v>
      </c>
      <c r="W82">
        <v>3.3</v>
      </c>
      <c r="X82" t="s">
        <v>484</v>
      </c>
      <c r="Y82" t="s">
        <v>520</v>
      </c>
      <c r="Z82" t="s">
        <v>455</v>
      </c>
      <c r="AA82" t="b">
        <v>0</v>
      </c>
      <c r="AB82">
        <v>0</v>
      </c>
      <c r="AC82" t="str">
        <f t="shared" si="5"/>
        <v>WORLDCUPMANIA</v>
      </c>
      <c r="AD82" t="str">
        <f>VLOOKUP(K82,'restaurant name correction'!$A$1:$B$44,2,0)</f>
        <v>Tharavadu family restaurant</v>
      </c>
      <c r="AE82" t="str">
        <f>VLOOKUP(Z82,restaurant_area_correction!$A$1:$B$18,2,0)</f>
        <v>Bommanahalli</v>
      </c>
      <c r="AF82">
        <f t="shared" si="6"/>
        <v>149.97999999999999</v>
      </c>
      <c r="AG82" s="11">
        <f t="shared" si="7"/>
        <v>45221</v>
      </c>
      <c r="AH82" s="12">
        <f t="shared" si="8"/>
        <v>0.47038194444758119</v>
      </c>
      <c r="AI82" t="str">
        <f t="shared" si="9"/>
        <v>Sunday</v>
      </c>
      <c r="AJ82" t="str">
        <f>VLOOKUP(HOUR(Orders[[#This Row],[Time]]),$AQ$1:$AR$7,2,1)</f>
        <v>Late Morning</v>
      </c>
      <c r="AK82" t="str">
        <f>IF(Orders[[#This Row],[rain_mode]]=0,"Sunny","Rainy")</f>
        <v>Sunny</v>
      </c>
    </row>
    <row r="83" spans="1:37" x14ac:dyDescent="0.35">
      <c r="A83">
        <v>156864275866899</v>
      </c>
      <c r="B83" t="b">
        <v>0</v>
      </c>
      <c r="C83" t="s">
        <v>42</v>
      </c>
      <c r="D83" t="s">
        <v>42</v>
      </c>
      <c r="E83" t="s">
        <v>529</v>
      </c>
      <c r="F83" t="s">
        <v>530</v>
      </c>
      <c r="G83" t="s">
        <v>32</v>
      </c>
      <c r="H83" t="s">
        <v>33</v>
      </c>
      <c r="I83" t="s">
        <v>531</v>
      </c>
      <c r="J83" t="s">
        <v>532</v>
      </c>
      <c r="K83" t="s">
        <v>533</v>
      </c>
      <c r="L83" t="s">
        <v>534</v>
      </c>
      <c r="M83" t="s">
        <v>535</v>
      </c>
      <c r="N83" t="s">
        <v>39</v>
      </c>
      <c r="O83">
        <v>2025</v>
      </c>
      <c r="P83">
        <v>265</v>
      </c>
      <c r="Q83">
        <v>265</v>
      </c>
      <c r="R83">
        <v>265</v>
      </c>
      <c r="S83">
        <v>239</v>
      </c>
      <c r="T83">
        <v>49</v>
      </c>
      <c r="U83">
        <v>0</v>
      </c>
      <c r="V83" t="s">
        <v>536</v>
      </c>
      <c r="W83">
        <v>4.2</v>
      </c>
      <c r="X83" t="s">
        <v>42</v>
      </c>
      <c r="Y83" t="s">
        <v>520</v>
      </c>
      <c r="Z83" t="s">
        <v>205</v>
      </c>
      <c r="AA83" t="b">
        <v>0</v>
      </c>
      <c r="AB83">
        <v>0</v>
      </c>
      <c r="AC83" t="str">
        <f t="shared" si="5"/>
        <v>No Coupon Applied</v>
      </c>
      <c r="AD83" t="str">
        <f>VLOOKUP(K83,'restaurant name correction'!$A$1:$B$44,2,0)</f>
        <v>Kairali Restaurant</v>
      </c>
      <c r="AE83" t="str">
        <f>VLOOKUP(Z83,restaurant_area_correction!$A$1:$B$18,2,0)</f>
        <v>Bellandur</v>
      </c>
      <c r="AF83">
        <f t="shared" si="6"/>
        <v>0</v>
      </c>
      <c r="AG83" s="11">
        <f t="shared" si="7"/>
        <v>45220</v>
      </c>
      <c r="AH83" s="12">
        <f t="shared" si="8"/>
        <v>0.78790509259124519</v>
      </c>
      <c r="AI83" t="str">
        <f t="shared" si="9"/>
        <v>Saturday</v>
      </c>
      <c r="AJ83" t="str">
        <f>VLOOKUP(HOUR(Orders[[#This Row],[Time]]),$AQ$1:$AR$7,2,1)</f>
        <v>Evening</v>
      </c>
      <c r="AK83" t="str">
        <f>IF(Orders[[#This Row],[rain_mode]]=0,"Sunny","Rainy")</f>
        <v>Sunny</v>
      </c>
    </row>
    <row r="84" spans="1:37" x14ac:dyDescent="0.35">
      <c r="A84">
        <v>156652104418064</v>
      </c>
      <c r="B84" t="b">
        <v>1</v>
      </c>
      <c r="C84" t="s">
        <v>537</v>
      </c>
      <c r="D84" t="s">
        <v>538</v>
      </c>
      <c r="E84" t="s">
        <v>539</v>
      </c>
      <c r="F84" t="s">
        <v>540</v>
      </c>
      <c r="G84" t="s">
        <v>32</v>
      </c>
      <c r="H84" t="s">
        <v>33</v>
      </c>
      <c r="I84" t="s">
        <v>541</v>
      </c>
      <c r="J84" t="s">
        <v>542</v>
      </c>
      <c r="K84" t="s">
        <v>543</v>
      </c>
      <c r="L84" t="s">
        <v>544</v>
      </c>
      <c r="M84" t="s">
        <v>112</v>
      </c>
      <c r="N84" t="s">
        <v>39</v>
      </c>
      <c r="O84">
        <v>753</v>
      </c>
      <c r="P84">
        <v>189</v>
      </c>
      <c r="Q84">
        <v>189</v>
      </c>
      <c r="R84">
        <v>189</v>
      </c>
      <c r="S84">
        <v>207</v>
      </c>
      <c r="T84">
        <v>30</v>
      </c>
      <c r="U84">
        <v>0</v>
      </c>
      <c r="V84" t="s">
        <v>545</v>
      </c>
      <c r="W84">
        <v>2.4</v>
      </c>
      <c r="X84" t="s">
        <v>537</v>
      </c>
      <c r="Y84" t="s">
        <v>41</v>
      </c>
      <c r="Z84" t="s">
        <v>260</v>
      </c>
      <c r="AA84" t="b">
        <v>1</v>
      </c>
      <c r="AB84">
        <v>0</v>
      </c>
      <c r="AC84" t="str">
        <f t="shared" si="5"/>
        <v>TRYNEW-XL</v>
      </c>
      <c r="AD84" t="str">
        <f>VLOOKUP(K84,'restaurant name correction'!$A$1:$B$44,2,0)</f>
        <v>Asha tiffins</v>
      </c>
      <c r="AE84" t="str">
        <f>VLOOKUP(Z84,restaurant_area_correction!$A$1:$B$18,2,0)</f>
        <v>HSR</v>
      </c>
      <c r="AF84">
        <f t="shared" si="6"/>
        <v>62.099999999999902</v>
      </c>
      <c r="AG84" s="11">
        <f t="shared" si="7"/>
        <v>45218</v>
      </c>
      <c r="AH84" s="12">
        <f t="shared" si="8"/>
        <v>0.33222222221957054</v>
      </c>
      <c r="AI84" t="str">
        <f t="shared" si="9"/>
        <v>Thursday</v>
      </c>
      <c r="AJ84" t="str">
        <f>VLOOKUP(HOUR(Orders[[#This Row],[Time]]),$AQ$1:$AR$7,2,1)</f>
        <v>Morning</v>
      </c>
      <c r="AK84" t="str">
        <f>IF(Orders[[#This Row],[rain_mode]]=0,"Sunny","Rainy")</f>
        <v>Sunny</v>
      </c>
    </row>
    <row r="85" spans="1:37" x14ac:dyDescent="0.35">
      <c r="A85">
        <v>155826395288522</v>
      </c>
      <c r="B85" t="b">
        <v>1</v>
      </c>
      <c r="C85" t="s">
        <v>28</v>
      </c>
      <c r="D85" t="s">
        <v>546</v>
      </c>
      <c r="E85" t="s">
        <v>547</v>
      </c>
      <c r="F85" t="s">
        <v>548</v>
      </c>
      <c r="G85" t="s">
        <v>32</v>
      </c>
      <c r="H85" t="s">
        <v>33</v>
      </c>
      <c r="I85" t="s">
        <v>549</v>
      </c>
      <c r="J85" t="s">
        <v>550</v>
      </c>
      <c r="K85" t="s">
        <v>551</v>
      </c>
      <c r="L85" t="s">
        <v>552</v>
      </c>
      <c r="M85" t="s">
        <v>553</v>
      </c>
      <c r="N85" t="s">
        <v>39</v>
      </c>
      <c r="O85">
        <v>1001</v>
      </c>
      <c r="P85">
        <v>229</v>
      </c>
      <c r="Q85">
        <v>229</v>
      </c>
      <c r="R85">
        <v>229</v>
      </c>
      <c r="S85">
        <v>258</v>
      </c>
      <c r="T85">
        <v>48</v>
      </c>
      <c r="U85">
        <v>0</v>
      </c>
      <c r="V85" t="s">
        <v>554</v>
      </c>
      <c r="W85">
        <v>0.7</v>
      </c>
      <c r="X85" t="s">
        <v>28</v>
      </c>
      <c r="Y85" t="s">
        <v>520</v>
      </c>
      <c r="Z85" t="s">
        <v>465</v>
      </c>
      <c r="AA85" t="b">
        <v>1</v>
      </c>
      <c r="AB85">
        <v>2</v>
      </c>
      <c r="AC85" t="str">
        <f t="shared" si="5"/>
        <v>SWIGGYIT</v>
      </c>
      <c r="AD85" t="str">
        <f>VLOOKUP(K85,'restaurant name correction'!$A$1:$B$44,2,0)</f>
        <v>Imperio Restaurant</v>
      </c>
      <c r="AE85" t="str">
        <f>VLOOKUP(Z85,restaurant_area_correction!$A$1:$B$18,2,0)</f>
        <v>HSR</v>
      </c>
      <c r="AF85">
        <f t="shared" si="6"/>
        <v>50</v>
      </c>
      <c r="AG85" s="11">
        <f t="shared" si="7"/>
        <v>45208</v>
      </c>
      <c r="AH85" s="12">
        <f t="shared" si="8"/>
        <v>0.77540509259415558</v>
      </c>
      <c r="AI85" t="str">
        <f t="shared" si="9"/>
        <v>Monday</v>
      </c>
      <c r="AJ85" t="str">
        <f>VLOOKUP(HOUR(Orders[[#This Row],[Time]]),$AQ$1:$AR$7,2,1)</f>
        <v>Evening</v>
      </c>
      <c r="AK85" t="str">
        <f>IF(Orders[[#This Row],[rain_mode]]=0,"Sunny","Rainy")</f>
        <v>Rainy</v>
      </c>
    </row>
    <row r="86" spans="1:37" x14ac:dyDescent="0.35">
      <c r="A86">
        <v>154933952448406</v>
      </c>
      <c r="B86" t="b">
        <v>0</v>
      </c>
      <c r="C86" t="s">
        <v>42</v>
      </c>
      <c r="D86" t="s">
        <v>42</v>
      </c>
      <c r="E86" t="s">
        <v>555</v>
      </c>
      <c r="F86" t="s">
        <v>556</v>
      </c>
      <c r="G86" t="s">
        <v>32</v>
      </c>
      <c r="H86" t="s">
        <v>33</v>
      </c>
      <c r="I86" t="s">
        <v>557</v>
      </c>
      <c r="J86" t="s">
        <v>517</v>
      </c>
      <c r="K86" t="s">
        <v>405</v>
      </c>
      <c r="L86" t="s">
        <v>518</v>
      </c>
      <c r="M86" t="s">
        <v>355</v>
      </c>
      <c r="N86" t="s">
        <v>39</v>
      </c>
      <c r="O86">
        <v>2566</v>
      </c>
      <c r="P86">
        <v>553</v>
      </c>
      <c r="Q86">
        <v>553</v>
      </c>
      <c r="R86">
        <v>553</v>
      </c>
      <c r="S86">
        <v>535</v>
      </c>
      <c r="T86">
        <v>44</v>
      </c>
      <c r="U86">
        <v>0</v>
      </c>
      <c r="V86" t="s">
        <v>519</v>
      </c>
      <c r="W86">
        <v>5</v>
      </c>
      <c r="X86" t="s">
        <v>42</v>
      </c>
      <c r="Y86" t="s">
        <v>41</v>
      </c>
      <c r="Z86" t="s">
        <v>212</v>
      </c>
      <c r="AA86" t="b">
        <v>1</v>
      </c>
      <c r="AB86">
        <v>0</v>
      </c>
      <c r="AC86" t="str">
        <f t="shared" si="5"/>
        <v>No Coupon Applied</v>
      </c>
      <c r="AD86" t="str">
        <f>VLOOKUP(K86,'restaurant name correction'!$A$1:$B$44,2,0)</f>
        <v>Paratha Envy</v>
      </c>
      <c r="AE86" t="str">
        <f>VLOOKUP(Z86,restaurant_area_correction!$A$1:$B$18,2,0)</f>
        <v>Sarjapur</v>
      </c>
      <c r="AF86">
        <f t="shared" si="6"/>
        <v>0</v>
      </c>
      <c r="AG86" s="11">
        <f t="shared" si="7"/>
        <v>45198</v>
      </c>
      <c r="AH86" s="12">
        <f t="shared" si="8"/>
        <v>0.44620370370103046</v>
      </c>
      <c r="AI86" t="str">
        <f t="shared" si="9"/>
        <v>Friday</v>
      </c>
      <c r="AJ86" t="str">
        <f>VLOOKUP(HOUR(Orders[[#This Row],[Time]]),$AQ$1:$AR$7,2,1)</f>
        <v>Late Morning</v>
      </c>
      <c r="AK86" t="str">
        <f>IF(Orders[[#This Row],[rain_mode]]=0,"Sunny","Rainy")</f>
        <v>Sunny</v>
      </c>
    </row>
    <row r="87" spans="1:37" x14ac:dyDescent="0.35">
      <c r="A87">
        <v>178713153585</v>
      </c>
      <c r="B87" t="b">
        <v>1</v>
      </c>
      <c r="C87" t="s">
        <v>126</v>
      </c>
      <c r="D87" t="s">
        <v>558</v>
      </c>
      <c r="E87" t="s">
        <v>559</v>
      </c>
      <c r="F87" t="s">
        <v>560</v>
      </c>
      <c r="G87" t="s">
        <v>32</v>
      </c>
      <c r="H87" t="s">
        <v>33</v>
      </c>
      <c r="I87" t="s">
        <v>561</v>
      </c>
      <c r="J87" t="s">
        <v>450</v>
      </c>
      <c r="K87" t="s">
        <v>451</v>
      </c>
      <c r="L87" t="s">
        <v>452</v>
      </c>
      <c r="M87" t="s">
        <v>453</v>
      </c>
      <c r="N87" t="s">
        <v>39</v>
      </c>
      <c r="O87">
        <v>1467</v>
      </c>
      <c r="P87">
        <v>362</v>
      </c>
      <c r="Q87">
        <v>362</v>
      </c>
      <c r="R87">
        <v>362</v>
      </c>
      <c r="S87">
        <v>441</v>
      </c>
      <c r="T87">
        <v>34</v>
      </c>
      <c r="U87">
        <v>0</v>
      </c>
      <c r="V87" t="s">
        <v>454</v>
      </c>
      <c r="W87">
        <v>3.3</v>
      </c>
      <c r="X87" t="s">
        <v>126</v>
      </c>
      <c r="Y87" t="s">
        <v>41</v>
      </c>
      <c r="Z87" t="s">
        <v>455</v>
      </c>
      <c r="AA87" t="b">
        <v>1</v>
      </c>
      <c r="AB87">
        <v>0</v>
      </c>
      <c r="AC87" t="str">
        <f t="shared" si="5"/>
        <v>TRYNEW</v>
      </c>
      <c r="AD87" t="str">
        <f>VLOOKUP(K87,'restaurant name correction'!$A$1:$B$44,2,0)</f>
        <v>Tharavadu family restaurant</v>
      </c>
      <c r="AE87" t="str">
        <f>VLOOKUP(Z87,restaurant_area_correction!$A$1:$B$18,2,0)</f>
        <v>Bommanahalli</v>
      </c>
      <c r="AF87">
        <f t="shared" si="6"/>
        <v>119.99</v>
      </c>
      <c r="AG87" s="11">
        <f t="shared" si="7"/>
        <v>45194</v>
      </c>
      <c r="AH87" s="12">
        <f t="shared" si="8"/>
        <v>0.66844907407357823</v>
      </c>
      <c r="AI87" t="str">
        <f t="shared" si="9"/>
        <v>Monday</v>
      </c>
      <c r="AJ87" t="str">
        <f>VLOOKUP(HOUR(Orders[[#This Row],[Time]]),$AQ$1:$AR$7,2,1)</f>
        <v>Evening</v>
      </c>
      <c r="AK87" t="str">
        <f>IF(Orders[[#This Row],[rain_mode]]=0,"Sunny","Rainy")</f>
        <v>Sunny</v>
      </c>
    </row>
    <row r="88" spans="1:37" x14ac:dyDescent="0.35">
      <c r="A88">
        <v>178539970232</v>
      </c>
      <c r="B88" t="b">
        <v>0</v>
      </c>
      <c r="C88" t="s">
        <v>42</v>
      </c>
      <c r="D88" t="s">
        <v>42</v>
      </c>
      <c r="E88" t="s">
        <v>562</v>
      </c>
      <c r="F88" t="s">
        <v>563</v>
      </c>
      <c r="G88" t="s">
        <v>32</v>
      </c>
      <c r="H88" t="s">
        <v>33</v>
      </c>
      <c r="I88" t="s">
        <v>564</v>
      </c>
      <c r="J88" t="s">
        <v>565</v>
      </c>
      <c r="K88" t="s">
        <v>566</v>
      </c>
      <c r="L88" t="s">
        <v>567</v>
      </c>
      <c r="M88" t="s">
        <v>378</v>
      </c>
      <c r="N88" t="s">
        <v>39</v>
      </c>
      <c r="O88">
        <v>1835</v>
      </c>
      <c r="P88">
        <v>281</v>
      </c>
      <c r="Q88">
        <v>281</v>
      </c>
      <c r="R88">
        <v>281</v>
      </c>
      <c r="S88">
        <v>256</v>
      </c>
      <c r="T88">
        <v>31</v>
      </c>
      <c r="U88">
        <v>0</v>
      </c>
      <c r="V88" t="s">
        <v>568</v>
      </c>
      <c r="W88">
        <v>0.5</v>
      </c>
      <c r="X88" t="s">
        <v>42</v>
      </c>
      <c r="Y88" t="s">
        <v>41</v>
      </c>
      <c r="Z88" t="s">
        <v>260</v>
      </c>
      <c r="AA88" t="b">
        <v>0</v>
      </c>
      <c r="AB88">
        <v>0</v>
      </c>
      <c r="AC88" t="str">
        <f t="shared" si="5"/>
        <v>No Coupon Applied</v>
      </c>
      <c r="AD88" t="str">
        <f>VLOOKUP(K88,'restaurant name correction'!$A$1:$B$44,2,0)</f>
        <v>HSR Freshcane Juice</v>
      </c>
      <c r="AE88" t="str">
        <f>VLOOKUP(Z88,restaurant_area_correction!$A$1:$B$18,2,0)</f>
        <v>HSR</v>
      </c>
      <c r="AF88">
        <f t="shared" si="6"/>
        <v>0</v>
      </c>
      <c r="AG88" s="11">
        <f t="shared" si="7"/>
        <v>45192</v>
      </c>
      <c r="AH88" s="12">
        <f t="shared" si="8"/>
        <v>0.66401620370015735</v>
      </c>
      <c r="AI88" t="str">
        <f t="shared" si="9"/>
        <v>Saturday</v>
      </c>
      <c r="AJ88" t="str">
        <f>VLOOKUP(HOUR(Orders[[#This Row],[Time]]),$AQ$1:$AR$7,2,1)</f>
        <v>Afternoon</v>
      </c>
      <c r="AK88" t="str">
        <f>IF(Orders[[#This Row],[rain_mode]]=0,"Sunny","Rainy")</f>
        <v>Sunny</v>
      </c>
    </row>
    <row r="89" spans="1:37" x14ac:dyDescent="0.35">
      <c r="A89">
        <v>178180906036</v>
      </c>
      <c r="B89" t="b">
        <v>1</v>
      </c>
      <c r="C89" t="s">
        <v>126</v>
      </c>
      <c r="D89" t="s">
        <v>569</v>
      </c>
      <c r="E89" t="s">
        <v>570</v>
      </c>
      <c r="F89" t="s">
        <v>571</v>
      </c>
      <c r="G89" t="s">
        <v>32</v>
      </c>
      <c r="H89" t="s">
        <v>33</v>
      </c>
      <c r="I89" t="s">
        <v>572</v>
      </c>
      <c r="J89" t="s">
        <v>550</v>
      </c>
      <c r="K89" t="s">
        <v>551</v>
      </c>
      <c r="L89" t="s">
        <v>552</v>
      </c>
      <c r="M89" t="s">
        <v>553</v>
      </c>
      <c r="N89" t="s">
        <v>39</v>
      </c>
      <c r="O89">
        <v>971</v>
      </c>
      <c r="P89">
        <v>301</v>
      </c>
      <c r="Q89">
        <v>301</v>
      </c>
      <c r="R89">
        <v>301</v>
      </c>
      <c r="S89">
        <v>318</v>
      </c>
      <c r="T89">
        <v>28</v>
      </c>
      <c r="U89">
        <v>0</v>
      </c>
      <c r="V89" t="s">
        <v>554</v>
      </c>
      <c r="W89">
        <v>0.7</v>
      </c>
      <c r="X89" t="s">
        <v>126</v>
      </c>
      <c r="Y89" t="s">
        <v>41</v>
      </c>
      <c r="Z89" t="s">
        <v>465</v>
      </c>
      <c r="AA89" t="b">
        <v>1</v>
      </c>
      <c r="AB89">
        <v>0</v>
      </c>
      <c r="AC89" t="str">
        <f t="shared" si="5"/>
        <v>TRYNEW</v>
      </c>
      <c r="AD89" t="str">
        <f>VLOOKUP(K89,'restaurant name correction'!$A$1:$B$44,2,0)</f>
        <v>Imperio Restaurant</v>
      </c>
      <c r="AE89" t="str">
        <f>VLOOKUP(Z89,restaurant_area_correction!$A$1:$B$18,2,0)</f>
        <v>HSR</v>
      </c>
      <c r="AF89">
        <f t="shared" si="6"/>
        <v>49.99</v>
      </c>
      <c r="AG89" s="11">
        <f t="shared" si="7"/>
        <v>45188</v>
      </c>
      <c r="AH89" s="12">
        <f t="shared" si="8"/>
        <v>0.50818287036963739</v>
      </c>
      <c r="AI89" t="str">
        <f t="shared" si="9"/>
        <v>Tuesday</v>
      </c>
      <c r="AJ89" t="str">
        <f>VLOOKUP(HOUR(Orders[[#This Row],[Time]]),$AQ$1:$AR$7,2,1)</f>
        <v>Afternoon</v>
      </c>
      <c r="AK89" t="str">
        <f>IF(Orders[[#This Row],[rain_mode]]=0,"Sunny","Rainy")</f>
        <v>Sunny</v>
      </c>
    </row>
    <row r="90" spans="1:37" x14ac:dyDescent="0.35">
      <c r="A90">
        <v>178090781440</v>
      </c>
      <c r="B90" t="b">
        <v>0</v>
      </c>
      <c r="C90" t="s">
        <v>42</v>
      </c>
      <c r="D90" t="s">
        <v>42</v>
      </c>
      <c r="E90" t="s">
        <v>573</v>
      </c>
      <c r="F90" t="s">
        <v>574</v>
      </c>
      <c r="G90" t="s">
        <v>32</v>
      </c>
      <c r="H90" t="s">
        <v>33</v>
      </c>
      <c r="I90" t="s">
        <v>575</v>
      </c>
      <c r="J90" t="s">
        <v>497</v>
      </c>
      <c r="K90" t="s">
        <v>498</v>
      </c>
      <c r="L90" t="s">
        <v>499</v>
      </c>
      <c r="M90" t="s">
        <v>112</v>
      </c>
      <c r="N90" t="s">
        <v>39</v>
      </c>
      <c r="O90">
        <v>2783</v>
      </c>
      <c r="P90">
        <v>190</v>
      </c>
      <c r="Q90">
        <v>190</v>
      </c>
      <c r="R90">
        <v>190</v>
      </c>
      <c r="S90">
        <v>169</v>
      </c>
      <c r="T90">
        <v>28</v>
      </c>
      <c r="U90">
        <v>0</v>
      </c>
      <c r="V90" t="s">
        <v>500</v>
      </c>
      <c r="W90">
        <v>2</v>
      </c>
      <c r="X90" t="s">
        <v>42</v>
      </c>
      <c r="Y90" t="s">
        <v>41</v>
      </c>
      <c r="Z90" t="s">
        <v>114</v>
      </c>
      <c r="AA90" t="b">
        <v>1</v>
      </c>
      <c r="AB90">
        <v>0</v>
      </c>
      <c r="AC90" t="str">
        <f t="shared" si="5"/>
        <v>No Coupon Applied</v>
      </c>
      <c r="AD90" t="str">
        <f>VLOOKUP(K90,'restaurant name correction'!$A$1:$B$44,2,0)</f>
        <v>Dosa Chicken &amp; Tiffins</v>
      </c>
      <c r="AE90" t="str">
        <f>VLOOKUP(Z90,restaurant_area_correction!$A$1:$B$18,2,0)</f>
        <v>HSR</v>
      </c>
      <c r="AF90">
        <f t="shared" si="6"/>
        <v>0</v>
      </c>
      <c r="AG90" s="11">
        <f t="shared" si="7"/>
        <v>45187</v>
      </c>
      <c r="AH90" s="12">
        <f t="shared" si="8"/>
        <v>0.46506944444263354</v>
      </c>
      <c r="AI90" t="str">
        <f t="shared" si="9"/>
        <v>Monday</v>
      </c>
      <c r="AJ90" t="str">
        <f>VLOOKUP(HOUR(Orders[[#This Row],[Time]]),$AQ$1:$AR$7,2,1)</f>
        <v>Late Morning</v>
      </c>
      <c r="AK90" t="str">
        <f>IF(Orders[[#This Row],[rain_mode]]=0,"Sunny","Rainy")</f>
        <v>Sunny</v>
      </c>
    </row>
    <row r="91" spans="1:37" x14ac:dyDescent="0.35">
      <c r="A91">
        <v>177591184372</v>
      </c>
      <c r="B91" t="b">
        <v>1</v>
      </c>
      <c r="C91" t="s">
        <v>576</v>
      </c>
      <c r="D91" t="s">
        <v>577</v>
      </c>
      <c r="E91" t="s">
        <v>578</v>
      </c>
      <c r="F91" t="s">
        <v>579</v>
      </c>
      <c r="G91" t="s">
        <v>32</v>
      </c>
      <c r="H91" t="s">
        <v>33</v>
      </c>
      <c r="I91" t="s">
        <v>580</v>
      </c>
      <c r="J91" t="s">
        <v>256</v>
      </c>
      <c r="K91" t="s">
        <v>257</v>
      </c>
      <c r="L91" t="s">
        <v>258</v>
      </c>
      <c r="M91" t="s">
        <v>112</v>
      </c>
      <c r="N91" t="s">
        <v>39</v>
      </c>
      <c r="O91">
        <v>1091</v>
      </c>
      <c r="P91">
        <v>244</v>
      </c>
      <c r="Q91">
        <v>244</v>
      </c>
      <c r="R91">
        <v>244</v>
      </c>
      <c r="S91">
        <v>299</v>
      </c>
      <c r="T91">
        <v>28</v>
      </c>
      <c r="U91">
        <v>0</v>
      </c>
      <c r="V91" t="s">
        <v>259</v>
      </c>
      <c r="W91">
        <v>1.7</v>
      </c>
      <c r="X91" t="s">
        <v>576</v>
      </c>
      <c r="Y91" t="s">
        <v>41</v>
      </c>
      <c r="Z91" t="s">
        <v>260</v>
      </c>
      <c r="AA91" t="b">
        <v>1</v>
      </c>
      <c r="AB91">
        <v>0</v>
      </c>
      <c r="AC91" t="str">
        <f t="shared" si="5"/>
        <v>SPECIALS</v>
      </c>
      <c r="AD91" t="str">
        <f>VLOOKUP(K91,'restaurant name correction'!$A$1:$B$44,2,0)</f>
        <v>Subway</v>
      </c>
      <c r="AE91" t="str">
        <f>VLOOKUP(Z91,restaurant_area_correction!$A$1:$B$18,2,0)</f>
        <v>HSR</v>
      </c>
      <c r="AF91">
        <f t="shared" si="6"/>
        <v>80</v>
      </c>
      <c r="AG91" s="11">
        <f t="shared" si="7"/>
        <v>45181</v>
      </c>
      <c r="AH91" s="12">
        <f t="shared" si="8"/>
        <v>0.68268518518743804</v>
      </c>
      <c r="AI91" t="str">
        <f t="shared" si="9"/>
        <v>Tuesday</v>
      </c>
      <c r="AJ91" t="str">
        <f>VLOOKUP(HOUR(Orders[[#This Row],[Time]]),$AQ$1:$AR$7,2,1)</f>
        <v>Evening</v>
      </c>
      <c r="AK91" t="str">
        <f>IF(Orders[[#This Row],[rain_mode]]=0,"Sunny","Rainy")</f>
        <v>Sunny</v>
      </c>
    </row>
    <row r="92" spans="1:37" x14ac:dyDescent="0.35">
      <c r="A92">
        <v>177445532607</v>
      </c>
      <c r="B92" t="b">
        <v>1</v>
      </c>
      <c r="C92" t="s">
        <v>581</v>
      </c>
      <c r="D92" t="s">
        <v>582</v>
      </c>
      <c r="E92" t="s">
        <v>583</v>
      </c>
      <c r="F92" t="s">
        <v>584</v>
      </c>
      <c r="G92" t="s">
        <v>32</v>
      </c>
      <c r="H92" t="s">
        <v>33</v>
      </c>
      <c r="I92" t="s">
        <v>585</v>
      </c>
      <c r="J92" t="s">
        <v>586</v>
      </c>
      <c r="K92" t="s">
        <v>587</v>
      </c>
      <c r="L92" t="s">
        <v>588</v>
      </c>
      <c r="M92" t="s">
        <v>378</v>
      </c>
      <c r="N92" t="s">
        <v>39</v>
      </c>
      <c r="O92">
        <v>2259</v>
      </c>
      <c r="P92">
        <v>1369</v>
      </c>
      <c r="Q92">
        <v>1369</v>
      </c>
      <c r="R92">
        <v>1369</v>
      </c>
      <c r="S92">
        <v>1380</v>
      </c>
      <c r="T92">
        <v>41</v>
      </c>
      <c r="U92">
        <v>0</v>
      </c>
      <c r="V92" t="s">
        <v>589</v>
      </c>
      <c r="W92">
        <v>0.8</v>
      </c>
      <c r="X92" t="s">
        <v>581</v>
      </c>
      <c r="Y92" t="s">
        <v>41</v>
      </c>
      <c r="Z92" t="s">
        <v>114</v>
      </c>
      <c r="AA92" t="b">
        <v>1</v>
      </c>
      <c r="AB92">
        <v>0</v>
      </c>
      <c r="AC92" t="str">
        <f t="shared" si="5"/>
        <v>PARTY</v>
      </c>
      <c r="AD92" t="str">
        <f>VLOOKUP(K92,'restaurant name correction'!$A$1:$B$44,2,0)</f>
        <v>Plan B</v>
      </c>
      <c r="AE92" t="str">
        <f>VLOOKUP(Z92,restaurant_area_correction!$A$1:$B$18,2,0)</f>
        <v>HSR</v>
      </c>
      <c r="AF92">
        <f t="shared" si="6"/>
        <v>138</v>
      </c>
      <c r="AG92" s="11">
        <f t="shared" si="7"/>
        <v>45179</v>
      </c>
      <c r="AH92" s="12">
        <f t="shared" si="8"/>
        <v>0.99690972222015262</v>
      </c>
      <c r="AI92" t="str">
        <f t="shared" si="9"/>
        <v>Sunday</v>
      </c>
      <c r="AJ92" t="str">
        <f>VLOOKUP(HOUR(Orders[[#This Row],[Time]]),$AQ$1:$AR$7,2,1)</f>
        <v>Night</v>
      </c>
      <c r="AK92" t="str">
        <f>IF(Orders[[#This Row],[rain_mode]]=0,"Sunny","Rainy")</f>
        <v>Sunny</v>
      </c>
    </row>
    <row r="93" spans="1:37" x14ac:dyDescent="0.35">
      <c r="A93">
        <v>177265186487</v>
      </c>
      <c r="B93" t="b">
        <v>1</v>
      </c>
      <c r="C93" t="s">
        <v>581</v>
      </c>
      <c r="D93" t="s">
        <v>590</v>
      </c>
      <c r="E93" t="s">
        <v>591</v>
      </c>
      <c r="F93" t="s">
        <v>592</v>
      </c>
      <c r="G93" t="s">
        <v>32</v>
      </c>
      <c r="H93" t="s">
        <v>33</v>
      </c>
      <c r="I93" t="s">
        <v>593</v>
      </c>
      <c r="J93" t="s">
        <v>586</v>
      </c>
      <c r="K93" t="s">
        <v>587</v>
      </c>
      <c r="L93" t="s">
        <v>588</v>
      </c>
      <c r="M93" t="s">
        <v>378</v>
      </c>
      <c r="N93" t="s">
        <v>39</v>
      </c>
      <c r="O93">
        <v>2907</v>
      </c>
      <c r="P93">
        <v>1905</v>
      </c>
      <c r="Q93">
        <v>1905</v>
      </c>
      <c r="R93">
        <v>1905</v>
      </c>
      <c r="S93">
        <v>1970</v>
      </c>
      <c r="T93">
        <v>37</v>
      </c>
      <c r="U93">
        <v>0</v>
      </c>
      <c r="V93" t="s">
        <v>589</v>
      </c>
      <c r="W93">
        <v>0.7</v>
      </c>
      <c r="X93" t="s">
        <v>581</v>
      </c>
      <c r="Y93" t="s">
        <v>41</v>
      </c>
      <c r="Z93" t="s">
        <v>114</v>
      </c>
      <c r="AA93" t="b">
        <v>1</v>
      </c>
      <c r="AB93">
        <v>0</v>
      </c>
      <c r="AC93" t="str">
        <f t="shared" si="5"/>
        <v>PARTY</v>
      </c>
      <c r="AD93" t="str">
        <f>VLOOKUP(K93,'restaurant name correction'!$A$1:$B$44,2,0)</f>
        <v>Plan B</v>
      </c>
      <c r="AE93" t="str">
        <f>VLOOKUP(Z93,restaurant_area_correction!$A$1:$B$18,2,0)</f>
        <v>HSR</v>
      </c>
      <c r="AF93">
        <f t="shared" si="6"/>
        <v>197</v>
      </c>
      <c r="AG93" s="11">
        <f t="shared" si="7"/>
        <v>45177</v>
      </c>
      <c r="AH93" s="12">
        <f t="shared" si="8"/>
        <v>0.90957175925723277</v>
      </c>
      <c r="AI93" t="str">
        <f t="shared" si="9"/>
        <v>Friday</v>
      </c>
      <c r="AJ93" t="str">
        <f>VLOOKUP(HOUR(Orders[[#This Row],[Time]]),$AQ$1:$AR$7,2,1)</f>
        <v>Night</v>
      </c>
      <c r="AK93" t="str">
        <f>IF(Orders[[#This Row],[rain_mode]]=0,"Sunny","Rainy")</f>
        <v>Sunny</v>
      </c>
    </row>
    <row r="94" spans="1:37" x14ac:dyDescent="0.35">
      <c r="A94">
        <v>176793394432</v>
      </c>
      <c r="B94" t="b">
        <v>1</v>
      </c>
      <c r="C94" t="s">
        <v>126</v>
      </c>
      <c r="D94" t="s">
        <v>594</v>
      </c>
      <c r="E94" t="s">
        <v>595</v>
      </c>
      <c r="F94">
        <v>0</v>
      </c>
      <c r="G94" t="s">
        <v>32</v>
      </c>
      <c r="H94" t="s">
        <v>33</v>
      </c>
      <c r="I94" t="s">
        <v>596</v>
      </c>
      <c r="J94" t="s">
        <v>597</v>
      </c>
      <c r="K94" t="s">
        <v>598</v>
      </c>
      <c r="L94" t="s">
        <v>599</v>
      </c>
      <c r="M94" t="s">
        <v>600</v>
      </c>
      <c r="N94" t="s">
        <v>39</v>
      </c>
      <c r="O94">
        <v>1712</v>
      </c>
      <c r="P94">
        <v>399</v>
      </c>
      <c r="Q94">
        <v>399</v>
      </c>
      <c r="R94">
        <v>399</v>
      </c>
      <c r="S94">
        <v>398</v>
      </c>
      <c r="T94">
        <v>44</v>
      </c>
      <c r="U94">
        <v>0</v>
      </c>
      <c r="V94" t="s">
        <v>601</v>
      </c>
      <c r="W94">
        <v>4.4000000000000004</v>
      </c>
      <c r="X94" t="s">
        <v>126</v>
      </c>
      <c r="Y94" t="s">
        <v>520</v>
      </c>
      <c r="Z94" t="s">
        <v>290</v>
      </c>
      <c r="AA94" t="b">
        <v>0</v>
      </c>
      <c r="AB94">
        <v>0</v>
      </c>
      <c r="AC94" t="str">
        <f t="shared" si="5"/>
        <v>TRYNEW</v>
      </c>
      <c r="AD94" t="str">
        <f>VLOOKUP(K94,'restaurant name correction'!$A$1:$B$44,2,0)</f>
        <v>Drunken Monkey</v>
      </c>
      <c r="AE94" t="str">
        <f>VLOOKUP(Z94,restaurant_area_correction!$A$1:$B$18,2,0)</f>
        <v>Koramangala</v>
      </c>
      <c r="AF94">
        <f t="shared" si="6"/>
        <v>39.799999999999997</v>
      </c>
      <c r="AG94" s="11">
        <f t="shared" si="7"/>
        <v>45172</v>
      </c>
      <c r="AH94" s="12">
        <f t="shared" si="8"/>
        <v>0.44901620370364981</v>
      </c>
      <c r="AI94" t="str">
        <f t="shared" si="9"/>
        <v>Sunday</v>
      </c>
      <c r="AJ94" t="str">
        <f>VLOOKUP(HOUR(Orders[[#This Row],[Time]]),$AQ$1:$AR$7,2,1)</f>
        <v>Late Morning</v>
      </c>
      <c r="AK94" t="str">
        <f>IF(Orders[[#This Row],[rain_mode]]=0,"Sunny","Rainy")</f>
        <v>Sunny</v>
      </c>
    </row>
    <row r="95" spans="1:37" x14ac:dyDescent="0.35">
      <c r="A95">
        <v>176745115332</v>
      </c>
      <c r="B95" t="b">
        <v>1</v>
      </c>
      <c r="C95" t="s">
        <v>126</v>
      </c>
      <c r="D95" t="s">
        <v>602</v>
      </c>
      <c r="E95" t="s">
        <v>603</v>
      </c>
      <c r="F95">
        <v>0</v>
      </c>
      <c r="G95" t="s">
        <v>32</v>
      </c>
      <c r="H95" t="s">
        <v>33</v>
      </c>
      <c r="I95" t="s">
        <v>604</v>
      </c>
      <c r="J95" t="s">
        <v>295</v>
      </c>
      <c r="K95" t="s">
        <v>88</v>
      </c>
      <c r="L95" t="s">
        <v>296</v>
      </c>
      <c r="M95" t="s">
        <v>279</v>
      </c>
      <c r="N95" t="s">
        <v>39</v>
      </c>
      <c r="O95">
        <v>2738</v>
      </c>
      <c r="P95">
        <v>359</v>
      </c>
      <c r="Q95">
        <v>359</v>
      </c>
      <c r="R95">
        <v>359</v>
      </c>
      <c r="S95">
        <v>400</v>
      </c>
      <c r="T95">
        <v>36</v>
      </c>
      <c r="U95">
        <v>0</v>
      </c>
      <c r="V95" t="s">
        <v>422</v>
      </c>
      <c r="W95">
        <v>2.1</v>
      </c>
      <c r="X95" t="s">
        <v>126</v>
      </c>
      <c r="Y95" t="s">
        <v>520</v>
      </c>
      <c r="Z95" t="s">
        <v>114</v>
      </c>
      <c r="AA95" t="b">
        <v>0</v>
      </c>
      <c r="AB95">
        <v>0</v>
      </c>
      <c r="AC95" t="str">
        <f t="shared" si="5"/>
        <v>TRYNEW</v>
      </c>
      <c r="AD95" t="str">
        <f>VLOOKUP(K95,'restaurant name correction'!$A$1:$B$44,2,0)</f>
        <v>Daily Sushi</v>
      </c>
      <c r="AE95" t="str">
        <f>VLOOKUP(Z95,restaurant_area_correction!$A$1:$B$18,2,0)</f>
        <v>HSR</v>
      </c>
      <c r="AF95">
        <f t="shared" si="6"/>
        <v>100</v>
      </c>
      <c r="AG95" s="11">
        <f t="shared" si="7"/>
        <v>45171</v>
      </c>
      <c r="AH95" s="12">
        <f t="shared" si="8"/>
        <v>0.89023148148407927</v>
      </c>
      <c r="AI95" t="str">
        <f t="shared" si="9"/>
        <v>Saturday</v>
      </c>
      <c r="AJ95" t="str">
        <f>VLOOKUP(HOUR(Orders[[#This Row],[Time]]),$AQ$1:$AR$7,2,1)</f>
        <v>Night</v>
      </c>
      <c r="AK95" t="str">
        <f>IF(Orders[[#This Row],[rain_mode]]=0,"Sunny","Rainy")</f>
        <v>Sunny</v>
      </c>
    </row>
    <row r="96" spans="1:37" x14ac:dyDescent="0.35">
      <c r="A96">
        <v>176716772573</v>
      </c>
      <c r="B96" t="b">
        <v>1</v>
      </c>
      <c r="C96" t="s">
        <v>605</v>
      </c>
      <c r="D96" t="s">
        <v>606</v>
      </c>
      <c r="E96" t="s">
        <v>607</v>
      </c>
      <c r="F96">
        <v>0</v>
      </c>
      <c r="G96" t="s">
        <v>32</v>
      </c>
      <c r="H96" t="s">
        <v>33</v>
      </c>
      <c r="I96" t="s">
        <v>608</v>
      </c>
      <c r="J96" t="s">
        <v>609</v>
      </c>
      <c r="K96" t="s">
        <v>429</v>
      </c>
      <c r="L96" t="s">
        <v>610</v>
      </c>
      <c r="M96" t="s">
        <v>611</v>
      </c>
      <c r="N96" t="s">
        <v>39</v>
      </c>
      <c r="O96">
        <v>2483</v>
      </c>
      <c r="P96">
        <v>356</v>
      </c>
      <c r="Q96">
        <v>356</v>
      </c>
      <c r="R96">
        <v>356</v>
      </c>
      <c r="S96">
        <v>460</v>
      </c>
      <c r="T96">
        <v>34</v>
      </c>
      <c r="U96">
        <v>0</v>
      </c>
      <c r="V96" t="s">
        <v>612</v>
      </c>
      <c r="W96">
        <v>1.5</v>
      </c>
      <c r="X96" t="s">
        <v>605</v>
      </c>
      <c r="Y96" t="s">
        <v>520</v>
      </c>
      <c r="Z96" t="s">
        <v>611</v>
      </c>
      <c r="AA96" t="b">
        <v>1</v>
      </c>
      <c r="AB96">
        <v>0</v>
      </c>
      <c r="AC96" t="str">
        <f t="shared" si="5"/>
        <v>WEEKENDS</v>
      </c>
      <c r="AD96" t="str">
        <f>VLOOKUP(K96,'restaurant name correction'!$A$1:$B$44,2,0)</f>
        <v>Burger Seigneur</v>
      </c>
      <c r="AE96" t="str">
        <f>VLOOKUP(Z96,restaurant_area_correction!$A$1:$B$18,2,0)</f>
        <v>Indiranagar</v>
      </c>
      <c r="AF96">
        <f t="shared" si="6"/>
        <v>125</v>
      </c>
      <c r="AG96" s="11">
        <f t="shared" si="7"/>
        <v>45171</v>
      </c>
      <c r="AH96" s="12">
        <f t="shared" si="8"/>
        <v>0.56218749999970896</v>
      </c>
      <c r="AI96" t="str">
        <f t="shared" si="9"/>
        <v>Saturday</v>
      </c>
      <c r="AJ96" t="str">
        <f>VLOOKUP(HOUR(Orders[[#This Row],[Time]]),$AQ$1:$AR$7,2,1)</f>
        <v>Afternoon</v>
      </c>
      <c r="AK96" t="str">
        <f>IF(Orders[[#This Row],[rain_mode]]=0,"Sunny","Rainy")</f>
        <v>Sunny</v>
      </c>
    </row>
    <row r="97" spans="1:37" x14ac:dyDescent="0.35">
      <c r="A97">
        <v>176451044220</v>
      </c>
      <c r="B97" t="b">
        <v>0</v>
      </c>
      <c r="C97" t="s">
        <v>42</v>
      </c>
      <c r="D97" t="s">
        <v>42</v>
      </c>
      <c r="E97" t="s">
        <v>613</v>
      </c>
      <c r="F97">
        <v>0</v>
      </c>
      <c r="G97" t="s">
        <v>32</v>
      </c>
      <c r="H97" t="s">
        <v>33</v>
      </c>
      <c r="I97" t="s">
        <v>614</v>
      </c>
      <c r="J97" t="s">
        <v>615</v>
      </c>
      <c r="K97" t="s">
        <v>616</v>
      </c>
      <c r="L97" t="s">
        <v>617</v>
      </c>
      <c r="M97" t="s">
        <v>618</v>
      </c>
      <c r="N97" t="s">
        <v>39</v>
      </c>
      <c r="O97">
        <v>1839</v>
      </c>
      <c r="P97">
        <v>301</v>
      </c>
      <c r="Q97">
        <v>301</v>
      </c>
      <c r="R97">
        <v>301</v>
      </c>
      <c r="S97">
        <v>261.90996999999999</v>
      </c>
      <c r="T97">
        <v>39</v>
      </c>
      <c r="U97">
        <v>0</v>
      </c>
      <c r="V97" t="s">
        <v>619</v>
      </c>
      <c r="W97">
        <v>4.9000000000000004</v>
      </c>
      <c r="X97" t="s">
        <v>42</v>
      </c>
      <c r="Y97" t="s">
        <v>520</v>
      </c>
      <c r="Z97" t="s">
        <v>205</v>
      </c>
      <c r="AA97" t="b">
        <v>0</v>
      </c>
      <c r="AB97">
        <v>0</v>
      </c>
      <c r="AC97" t="str">
        <f t="shared" si="5"/>
        <v>No Coupon Applied</v>
      </c>
      <c r="AD97" t="str">
        <f>VLOOKUP(K97,'restaurant name correction'!$A$1:$B$44,2,0)</f>
        <v>Truffles</v>
      </c>
      <c r="AE97" t="str">
        <f>VLOOKUP(Z97,restaurant_area_correction!$A$1:$B$18,2,0)</f>
        <v>Bellandur</v>
      </c>
      <c r="AF97">
        <f t="shared" si="6"/>
        <v>0</v>
      </c>
      <c r="AG97" s="11">
        <f t="shared" si="7"/>
        <v>45168</v>
      </c>
      <c r="AH97" s="12">
        <f t="shared" si="8"/>
        <v>0.48663194444088731</v>
      </c>
      <c r="AI97" t="str">
        <f t="shared" si="9"/>
        <v>Wednesday</v>
      </c>
      <c r="AJ97" t="str">
        <f>VLOOKUP(HOUR(Orders[[#This Row],[Time]]),$AQ$1:$AR$7,2,1)</f>
        <v>Late Morning</v>
      </c>
      <c r="AK97" t="str">
        <f>IF(Orders[[#This Row],[rain_mode]]=0,"Sunny","Rainy")</f>
        <v>Sunny</v>
      </c>
    </row>
    <row r="98" spans="1:37" x14ac:dyDescent="0.35">
      <c r="A98">
        <v>176221057630</v>
      </c>
      <c r="B98" t="b">
        <v>0</v>
      </c>
      <c r="C98" t="s">
        <v>42</v>
      </c>
      <c r="D98" t="s">
        <v>42</v>
      </c>
      <c r="E98" t="s">
        <v>620</v>
      </c>
      <c r="F98">
        <v>0</v>
      </c>
      <c r="G98" t="s">
        <v>32</v>
      </c>
      <c r="H98" t="s">
        <v>33</v>
      </c>
      <c r="I98" t="s">
        <v>621</v>
      </c>
      <c r="J98" t="s">
        <v>622</v>
      </c>
      <c r="K98" t="s">
        <v>623</v>
      </c>
      <c r="L98" t="s">
        <v>624</v>
      </c>
      <c r="M98" t="s">
        <v>321</v>
      </c>
      <c r="N98" t="s">
        <v>39</v>
      </c>
      <c r="O98">
        <v>2187</v>
      </c>
      <c r="P98">
        <v>164</v>
      </c>
      <c r="Q98">
        <v>164</v>
      </c>
      <c r="R98">
        <v>164</v>
      </c>
      <c r="S98">
        <v>199</v>
      </c>
      <c r="T98">
        <v>41</v>
      </c>
      <c r="U98">
        <v>0</v>
      </c>
      <c r="V98" t="s">
        <v>625</v>
      </c>
      <c r="W98">
        <v>3.1</v>
      </c>
      <c r="X98" t="s">
        <v>42</v>
      </c>
      <c r="Y98" t="s">
        <v>520</v>
      </c>
      <c r="Z98" t="s">
        <v>290</v>
      </c>
      <c r="AA98" t="b">
        <v>0</v>
      </c>
      <c r="AB98">
        <v>0</v>
      </c>
      <c r="AC98" t="str">
        <f t="shared" si="5"/>
        <v>No Coupon Applied</v>
      </c>
      <c r="AD98" t="str">
        <f>VLOOKUP(K98,'restaurant name correction'!$A$1:$B$44,2,0)</f>
        <v xml:space="preserve">Istah </v>
      </c>
      <c r="AE98" t="str">
        <f>VLOOKUP(Z98,restaurant_area_correction!$A$1:$B$18,2,0)</f>
        <v>Koramangala</v>
      </c>
      <c r="AF98">
        <f t="shared" si="6"/>
        <v>0</v>
      </c>
      <c r="AG98" s="11">
        <f t="shared" si="7"/>
        <v>45165</v>
      </c>
      <c r="AH98" s="12">
        <f t="shared" si="8"/>
        <v>0.82474537037342088</v>
      </c>
      <c r="AI98" t="str">
        <f t="shared" si="9"/>
        <v>Sunday</v>
      </c>
      <c r="AJ98" t="str">
        <f>VLOOKUP(HOUR(Orders[[#This Row],[Time]]),$AQ$1:$AR$7,2,1)</f>
        <v>Evening</v>
      </c>
      <c r="AK98" t="str">
        <f>IF(Orders[[#This Row],[rain_mode]]=0,"Sunny","Rainy")</f>
        <v>Sunny</v>
      </c>
    </row>
    <row r="99" spans="1:37" x14ac:dyDescent="0.35">
      <c r="A99">
        <v>175968970700</v>
      </c>
      <c r="B99" t="b">
        <v>1</v>
      </c>
      <c r="C99" t="s">
        <v>163</v>
      </c>
      <c r="D99" t="s">
        <v>626</v>
      </c>
      <c r="E99" t="s">
        <v>627</v>
      </c>
      <c r="F99">
        <v>0</v>
      </c>
      <c r="G99" t="s">
        <v>32</v>
      </c>
      <c r="H99" t="s">
        <v>195</v>
      </c>
      <c r="I99" t="s">
        <v>42</v>
      </c>
      <c r="J99" t="s">
        <v>628</v>
      </c>
      <c r="K99" t="s">
        <v>629</v>
      </c>
      <c r="L99" t="s">
        <v>630</v>
      </c>
      <c r="M99" t="s">
        <v>90</v>
      </c>
      <c r="N99" t="s">
        <v>39</v>
      </c>
      <c r="O99">
        <v>0</v>
      </c>
      <c r="P99">
        <v>369</v>
      </c>
      <c r="Q99">
        <v>369</v>
      </c>
      <c r="R99">
        <v>369</v>
      </c>
      <c r="S99">
        <v>438</v>
      </c>
      <c r="T99">
        <v>55</v>
      </c>
      <c r="U99">
        <v>0</v>
      </c>
      <c r="V99" t="s">
        <v>631</v>
      </c>
      <c r="W99">
        <v>5.4</v>
      </c>
      <c r="X99" t="s">
        <v>163</v>
      </c>
      <c r="Y99" t="s">
        <v>520</v>
      </c>
      <c r="Z99" t="s">
        <v>290</v>
      </c>
      <c r="AA99" t="b">
        <v>0</v>
      </c>
      <c r="AB99">
        <v>0</v>
      </c>
      <c r="AC99" t="str">
        <f t="shared" si="5"/>
        <v>JUMBO</v>
      </c>
      <c r="AD99" t="str">
        <f>VLOOKUP(K99,'restaurant name correction'!$A$1:$B$44,2,0)</f>
        <v>The Thick Shake Factory</v>
      </c>
      <c r="AE99" t="str">
        <f>VLOOKUP(Z99,restaurant_area_correction!$A$1:$B$18,2,0)</f>
        <v>Koramangala</v>
      </c>
      <c r="AF99">
        <f t="shared" si="6"/>
        <v>109.5</v>
      </c>
      <c r="AG99" s="11">
        <f t="shared" si="7"/>
        <v>45162</v>
      </c>
      <c r="AH99" s="12">
        <f t="shared" si="8"/>
        <v>0.90707175926218042</v>
      </c>
      <c r="AI99" t="str">
        <f t="shared" si="9"/>
        <v>Thursday</v>
      </c>
      <c r="AJ99" t="str">
        <f>VLOOKUP(HOUR(Orders[[#This Row],[Time]]),$AQ$1:$AR$7,2,1)</f>
        <v>Night</v>
      </c>
      <c r="AK99" t="str">
        <f>IF(Orders[[#This Row],[rain_mode]]=0,"Sunny","Rainy")</f>
        <v>Sunny</v>
      </c>
    </row>
    <row r="100" spans="1:37" x14ac:dyDescent="0.35">
      <c r="A100">
        <v>175192473312</v>
      </c>
      <c r="B100" t="b">
        <v>0</v>
      </c>
      <c r="C100" t="s">
        <v>42</v>
      </c>
      <c r="D100" t="s">
        <v>42</v>
      </c>
      <c r="E100" t="s">
        <v>632</v>
      </c>
      <c r="F100">
        <v>0</v>
      </c>
      <c r="G100" t="s">
        <v>32</v>
      </c>
      <c r="H100" t="s">
        <v>33</v>
      </c>
      <c r="I100" t="s">
        <v>633</v>
      </c>
      <c r="J100" t="s">
        <v>634</v>
      </c>
      <c r="K100" t="s">
        <v>635</v>
      </c>
      <c r="L100" t="s">
        <v>636</v>
      </c>
      <c r="M100" t="s">
        <v>637</v>
      </c>
      <c r="N100" t="s">
        <v>39</v>
      </c>
      <c r="O100">
        <v>1654</v>
      </c>
      <c r="P100">
        <v>504</v>
      </c>
      <c r="Q100">
        <v>504</v>
      </c>
      <c r="R100">
        <v>504</v>
      </c>
      <c r="S100">
        <v>465</v>
      </c>
      <c r="T100">
        <v>54</v>
      </c>
      <c r="U100">
        <v>0</v>
      </c>
      <c r="V100" t="s">
        <v>638</v>
      </c>
      <c r="W100">
        <v>5</v>
      </c>
      <c r="X100" t="s">
        <v>42</v>
      </c>
      <c r="Y100" t="s">
        <v>520</v>
      </c>
      <c r="Z100" t="s">
        <v>205</v>
      </c>
      <c r="AA100" t="b">
        <v>0</v>
      </c>
      <c r="AB100">
        <v>0</v>
      </c>
      <c r="AC100" t="str">
        <f t="shared" si="5"/>
        <v>No Coupon Applied</v>
      </c>
      <c r="AD100" t="str">
        <f>VLOOKUP(K100,'restaurant name correction'!$A$1:$B$44,2,0)</f>
        <v>Kerala Panoor Restaurant</v>
      </c>
      <c r="AE100" t="str">
        <f>VLOOKUP(Z100,restaurant_area_correction!$A$1:$B$18,2,0)</f>
        <v>Bellandur</v>
      </c>
      <c r="AF100">
        <f t="shared" si="6"/>
        <v>0</v>
      </c>
      <c r="AG100" s="11">
        <f t="shared" si="7"/>
        <v>45153</v>
      </c>
      <c r="AH100" s="12">
        <f t="shared" si="8"/>
        <v>0.91982638889021473</v>
      </c>
      <c r="AI100" t="str">
        <f t="shared" si="9"/>
        <v>Tuesday</v>
      </c>
      <c r="AJ100" t="str">
        <f>VLOOKUP(HOUR(Orders[[#This Row],[Time]]),$AQ$1:$AR$7,2,1)</f>
        <v>Night</v>
      </c>
      <c r="AK100" t="str">
        <f>IF(Orders[[#This Row],[rain_mode]]=0,"Sunny","Rainy")</f>
        <v>Sunny</v>
      </c>
    </row>
    <row r="101" spans="1:37" x14ac:dyDescent="0.35">
      <c r="A101">
        <v>174983850554</v>
      </c>
      <c r="B101" t="b">
        <v>0</v>
      </c>
      <c r="C101" t="s">
        <v>42</v>
      </c>
      <c r="D101" t="s">
        <v>42</v>
      </c>
      <c r="E101" t="s">
        <v>639</v>
      </c>
      <c r="F101">
        <v>0</v>
      </c>
      <c r="G101" t="s">
        <v>32</v>
      </c>
      <c r="H101" t="s">
        <v>33</v>
      </c>
      <c r="I101" t="s">
        <v>640</v>
      </c>
      <c r="J101" t="s">
        <v>641</v>
      </c>
      <c r="K101" t="s">
        <v>642</v>
      </c>
      <c r="L101" t="s">
        <v>278</v>
      </c>
      <c r="M101" t="s">
        <v>279</v>
      </c>
      <c r="N101" t="s">
        <v>39</v>
      </c>
      <c r="O101">
        <v>1728</v>
      </c>
      <c r="P101">
        <v>477</v>
      </c>
      <c r="Q101">
        <v>477</v>
      </c>
      <c r="R101">
        <v>477</v>
      </c>
      <c r="S101">
        <v>763</v>
      </c>
      <c r="T101">
        <v>25</v>
      </c>
      <c r="U101">
        <v>0</v>
      </c>
      <c r="V101" t="s">
        <v>280</v>
      </c>
      <c r="W101">
        <v>1.8</v>
      </c>
      <c r="X101" t="s">
        <v>42</v>
      </c>
      <c r="Y101" t="s">
        <v>520</v>
      </c>
      <c r="Z101" t="s">
        <v>114</v>
      </c>
      <c r="AA101" t="b">
        <v>0</v>
      </c>
      <c r="AB101">
        <v>0</v>
      </c>
      <c r="AC101" t="str">
        <f t="shared" si="5"/>
        <v>No Coupon Applied</v>
      </c>
      <c r="AD101" t="str">
        <f>VLOOKUP(K101,'restaurant name correction'!$A$1:$B$44,2,0)</f>
        <v>FreshMenu</v>
      </c>
      <c r="AE101" t="str">
        <f>VLOOKUP(Z101,restaurant_area_correction!$A$1:$B$18,2,0)</f>
        <v>HSR</v>
      </c>
      <c r="AF101">
        <f t="shared" si="6"/>
        <v>0</v>
      </c>
      <c r="AG101" s="11">
        <f t="shared" si="7"/>
        <v>45151</v>
      </c>
      <c r="AH101" s="12">
        <f t="shared" si="8"/>
        <v>0.50521990740526235</v>
      </c>
      <c r="AI101" t="str">
        <f t="shared" si="9"/>
        <v>Sunday</v>
      </c>
      <c r="AJ101" t="str">
        <f>VLOOKUP(HOUR(Orders[[#This Row],[Time]]),$AQ$1:$AR$7,2,1)</f>
        <v>Afternoon</v>
      </c>
      <c r="AK101" t="str">
        <f>IF(Orders[[#This Row],[rain_mode]]=0,"Sunny","Rainy")</f>
        <v>Sunny</v>
      </c>
    </row>
    <row r="102" spans="1:37" x14ac:dyDescent="0.35">
      <c r="A102">
        <v>174647551706</v>
      </c>
      <c r="B102" t="b">
        <v>1</v>
      </c>
      <c r="C102" t="s">
        <v>163</v>
      </c>
      <c r="D102" t="s">
        <v>643</v>
      </c>
      <c r="E102" t="s">
        <v>644</v>
      </c>
      <c r="F102">
        <v>0</v>
      </c>
      <c r="G102" t="s">
        <v>32</v>
      </c>
      <c r="H102" t="s">
        <v>33</v>
      </c>
      <c r="I102" t="s">
        <v>645</v>
      </c>
      <c r="J102" t="s">
        <v>646</v>
      </c>
      <c r="K102" t="s">
        <v>629</v>
      </c>
      <c r="L102" t="s">
        <v>647</v>
      </c>
      <c r="M102" t="s">
        <v>648</v>
      </c>
      <c r="N102" t="s">
        <v>39</v>
      </c>
      <c r="O102">
        <v>1269</v>
      </c>
      <c r="P102">
        <v>401</v>
      </c>
      <c r="Q102">
        <v>401</v>
      </c>
      <c r="R102">
        <v>401</v>
      </c>
      <c r="S102">
        <v>478</v>
      </c>
      <c r="T102">
        <v>25</v>
      </c>
      <c r="U102">
        <v>0</v>
      </c>
      <c r="V102" t="s">
        <v>649</v>
      </c>
      <c r="W102">
        <v>1.7</v>
      </c>
      <c r="X102" t="s">
        <v>163</v>
      </c>
      <c r="Y102" t="s">
        <v>520</v>
      </c>
      <c r="Z102" t="s">
        <v>114</v>
      </c>
      <c r="AA102" t="b">
        <v>0</v>
      </c>
      <c r="AB102">
        <v>0</v>
      </c>
      <c r="AC102" t="str">
        <f t="shared" si="5"/>
        <v>JUMBO</v>
      </c>
      <c r="AD102" t="str">
        <f>VLOOKUP(K102,'restaurant name correction'!$A$1:$B$44,2,0)</f>
        <v>The Thick Shake Factory</v>
      </c>
      <c r="AE102" t="str">
        <f>VLOOKUP(Z102,restaurant_area_correction!$A$1:$B$18,2,0)</f>
        <v>HSR</v>
      </c>
      <c r="AF102">
        <f t="shared" si="6"/>
        <v>119.49</v>
      </c>
      <c r="AG102" s="11">
        <f t="shared" si="7"/>
        <v>45147</v>
      </c>
      <c r="AH102" s="12">
        <f t="shared" si="8"/>
        <v>0.61287037037254777</v>
      </c>
      <c r="AI102" t="str">
        <f t="shared" si="9"/>
        <v>Wednesday</v>
      </c>
      <c r="AJ102" t="str">
        <f>VLOOKUP(HOUR(Orders[[#This Row],[Time]]),$AQ$1:$AR$7,2,1)</f>
        <v>Afternoon</v>
      </c>
      <c r="AK102" t="str">
        <f>IF(Orders[[#This Row],[rain_mode]]=0,"Sunny","Rainy")</f>
        <v>Sunny</v>
      </c>
    </row>
    <row r="103" spans="1:37" x14ac:dyDescent="0.35">
      <c r="A103">
        <v>174644435956</v>
      </c>
      <c r="B103" t="b">
        <v>0</v>
      </c>
      <c r="C103" t="s">
        <v>42</v>
      </c>
      <c r="D103" t="s">
        <v>42</v>
      </c>
      <c r="E103" t="s">
        <v>650</v>
      </c>
      <c r="F103">
        <v>0</v>
      </c>
      <c r="G103" t="s">
        <v>32</v>
      </c>
      <c r="H103" t="s">
        <v>33</v>
      </c>
      <c r="I103" t="s">
        <v>561</v>
      </c>
      <c r="J103" t="s">
        <v>428</v>
      </c>
      <c r="K103" t="s">
        <v>429</v>
      </c>
      <c r="L103" t="s">
        <v>430</v>
      </c>
      <c r="M103" t="s">
        <v>431</v>
      </c>
      <c r="N103" t="s">
        <v>39</v>
      </c>
      <c r="O103">
        <v>3238</v>
      </c>
      <c r="P103">
        <v>516</v>
      </c>
      <c r="Q103">
        <v>516</v>
      </c>
      <c r="R103">
        <v>516</v>
      </c>
      <c r="S103">
        <v>490</v>
      </c>
      <c r="T103">
        <v>25</v>
      </c>
      <c r="U103">
        <v>0</v>
      </c>
      <c r="V103" t="s">
        <v>651</v>
      </c>
      <c r="W103">
        <v>2.8</v>
      </c>
      <c r="X103" t="s">
        <v>42</v>
      </c>
      <c r="Y103" t="s">
        <v>520</v>
      </c>
      <c r="Z103" t="s">
        <v>433</v>
      </c>
      <c r="AA103" t="b">
        <v>0</v>
      </c>
      <c r="AB103">
        <v>0</v>
      </c>
      <c r="AC103" t="str">
        <f t="shared" si="5"/>
        <v>No Coupon Applied</v>
      </c>
      <c r="AD103" t="str">
        <f>VLOOKUP(K103,'restaurant name correction'!$A$1:$B$44,2,0)</f>
        <v>Burger Seigneur</v>
      </c>
      <c r="AE103" t="str">
        <f>VLOOKUP(Z103,restaurant_area_correction!$A$1:$B$18,2,0)</f>
        <v>Hosapalya</v>
      </c>
      <c r="AF103">
        <f t="shared" si="6"/>
        <v>0</v>
      </c>
      <c r="AG103" s="11">
        <f t="shared" si="7"/>
        <v>45147</v>
      </c>
      <c r="AH103" s="12">
        <f t="shared" si="8"/>
        <v>0.57680555555270985</v>
      </c>
      <c r="AI103" t="str">
        <f t="shared" si="9"/>
        <v>Wednesday</v>
      </c>
      <c r="AJ103" t="str">
        <f>VLOOKUP(HOUR(Orders[[#This Row],[Time]]),$AQ$1:$AR$7,2,1)</f>
        <v>Afternoon</v>
      </c>
      <c r="AK103" t="str">
        <f>IF(Orders[[#This Row],[rain_mode]]=0,"Sunny","Rainy")</f>
        <v>Sunny</v>
      </c>
    </row>
    <row r="104" spans="1:37" x14ac:dyDescent="0.35">
      <c r="A104">
        <v>174559415025</v>
      </c>
      <c r="B104" t="b">
        <v>1</v>
      </c>
      <c r="C104" t="s">
        <v>126</v>
      </c>
      <c r="D104" t="s">
        <v>652</v>
      </c>
      <c r="E104" t="s">
        <v>653</v>
      </c>
      <c r="F104">
        <v>0</v>
      </c>
      <c r="G104" t="s">
        <v>32</v>
      </c>
      <c r="H104" t="s">
        <v>33</v>
      </c>
      <c r="I104" t="s">
        <v>654</v>
      </c>
      <c r="J104" t="s">
        <v>655</v>
      </c>
      <c r="K104" t="s">
        <v>656</v>
      </c>
      <c r="L104" t="s">
        <v>657</v>
      </c>
      <c r="M104" t="s">
        <v>658</v>
      </c>
      <c r="N104" t="s">
        <v>39</v>
      </c>
      <c r="O104">
        <v>1585</v>
      </c>
      <c r="P104">
        <v>171</v>
      </c>
      <c r="Q104">
        <v>171</v>
      </c>
      <c r="R104">
        <v>171</v>
      </c>
      <c r="S104">
        <v>225</v>
      </c>
      <c r="T104">
        <v>25</v>
      </c>
      <c r="U104">
        <v>0</v>
      </c>
      <c r="V104" t="s">
        <v>659</v>
      </c>
      <c r="W104">
        <v>2.8</v>
      </c>
      <c r="X104" t="s">
        <v>126</v>
      </c>
      <c r="Y104" t="s">
        <v>520</v>
      </c>
      <c r="Z104" t="s">
        <v>205</v>
      </c>
      <c r="AA104" t="b">
        <v>0</v>
      </c>
      <c r="AB104">
        <v>0</v>
      </c>
      <c r="AC104" t="str">
        <f t="shared" si="5"/>
        <v>TRYNEW</v>
      </c>
      <c r="AD104" t="str">
        <f>VLOOKUP(K104,'restaurant name correction'!$A$1:$B$44,2,0)</f>
        <v>La Pino'z Pizza</v>
      </c>
      <c r="AE104" t="str">
        <f>VLOOKUP(Z104,restaurant_area_correction!$A$1:$B$18,2,0)</f>
        <v>Bellandur</v>
      </c>
      <c r="AF104">
        <f t="shared" si="6"/>
        <v>100</v>
      </c>
      <c r="AG104" s="11">
        <f t="shared" si="7"/>
        <v>45146</v>
      </c>
      <c r="AH104" s="12">
        <f t="shared" si="8"/>
        <v>0.59277777777606389</v>
      </c>
      <c r="AI104" t="str">
        <f t="shared" si="9"/>
        <v>Tuesday</v>
      </c>
      <c r="AJ104" t="str">
        <f>VLOOKUP(HOUR(Orders[[#This Row],[Time]]),$AQ$1:$AR$7,2,1)</f>
        <v>Afternoon</v>
      </c>
      <c r="AK104" t="str">
        <f>IF(Orders[[#This Row],[rain_mode]]=0,"Sunny","Rainy")</f>
        <v>Sunny</v>
      </c>
    </row>
    <row r="105" spans="1:37" x14ac:dyDescent="0.35">
      <c r="A105">
        <v>174376605060</v>
      </c>
      <c r="B105" t="b">
        <v>0</v>
      </c>
      <c r="C105" t="s">
        <v>42</v>
      </c>
      <c r="D105" t="s">
        <v>42</v>
      </c>
      <c r="E105" t="s">
        <v>660</v>
      </c>
      <c r="F105">
        <v>0</v>
      </c>
      <c r="G105" t="s">
        <v>32</v>
      </c>
      <c r="H105" t="s">
        <v>33</v>
      </c>
      <c r="I105" t="s">
        <v>661</v>
      </c>
      <c r="J105" t="s">
        <v>615</v>
      </c>
      <c r="K105" t="s">
        <v>616</v>
      </c>
      <c r="L105" t="s">
        <v>617</v>
      </c>
      <c r="M105" t="s">
        <v>618</v>
      </c>
      <c r="N105" t="s">
        <v>39</v>
      </c>
      <c r="O105">
        <v>1720</v>
      </c>
      <c r="P105">
        <v>645</v>
      </c>
      <c r="Q105">
        <v>645</v>
      </c>
      <c r="R105">
        <v>645</v>
      </c>
      <c r="S105">
        <v>523.83996999999999</v>
      </c>
      <c r="T105">
        <v>35</v>
      </c>
      <c r="U105">
        <v>0</v>
      </c>
      <c r="V105" t="s">
        <v>662</v>
      </c>
      <c r="W105">
        <v>4.0999999999999996</v>
      </c>
      <c r="X105" t="s">
        <v>42</v>
      </c>
      <c r="Y105" t="s">
        <v>520</v>
      </c>
      <c r="Z105" t="s">
        <v>205</v>
      </c>
      <c r="AA105" t="b">
        <v>1</v>
      </c>
      <c r="AB105">
        <v>0</v>
      </c>
      <c r="AC105" t="str">
        <f t="shared" si="5"/>
        <v>No Coupon Applied</v>
      </c>
      <c r="AD105" t="str">
        <f>VLOOKUP(K105,'restaurant name correction'!$A$1:$B$44,2,0)</f>
        <v>Truffles</v>
      </c>
      <c r="AE105" t="str">
        <f>VLOOKUP(Z105,restaurant_area_correction!$A$1:$B$18,2,0)</f>
        <v>Bellandur</v>
      </c>
      <c r="AF105">
        <f t="shared" si="6"/>
        <v>0</v>
      </c>
      <c r="AG105" s="11">
        <f t="shared" si="7"/>
        <v>45144</v>
      </c>
      <c r="AH105" s="12">
        <f t="shared" si="8"/>
        <v>0.47692129629285773</v>
      </c>
      <c r="AI105" t="str">
        <f t="shared" si="9"/>
        <v>Sunday</v>
      </c>
      <c r="AJ105" t="str">
        <f>VLOOKUP(HOUR(Orders[[#This Row],[Time]]),$AQ$1:$AR$7,2,1)</f>
        <v>Late Morning</v>
      </c>
      <c r="AK105" t="str">
        <f>IF(Orders[[#This Row],[rain_mode]]=0,"Sunny","Rainy")</f>
        <v>Sunny</v>
      </c>
    </row>
    <row r="106" spans="1:37" x14ac:dyDescent="0.35">
      <c r="A106">
        <v>172557699296</v>
      </c>
      <c r="B106" t="b">
        <v>0</v>
      </c>
      <c r="C106" t="s">
        <v>42</v>
      </c>
      <c r="D106" t="s">
        <v>42</v>
      </c>
      <c r="E106" t="s">
        <v>663</v>
      </c>
      <c r="F106">
        <v>0</v>
      </c>
      <c r="G106" t="s">
        <v>32</v>
      </c>
      <c r="H106" t="s">
        <v>33</v>
      </c>
      <c r="I106" t="s">
        <v>664</v>
      </c>
      <c r="J106" t="s">
        <v>665</v>
      </c>
      <c r="K106" t="s">
        <v>666</v>
      </c>
      <c r="L106" t="s">
        <v>667</v>
      </c>
      <c r="M106" t="s">
        <v>668</v>
      </c>
      <c r="N106" t="s">
        <v>39</v>
      </c>
      <c r="O106">
        <v>2004</v>
      </c>
      <c r="P106">
        <v>186</v>
      </c>
      <c r="Q106">
        <v>186</v>
      </c>
      <c r="R106">
        <v>186</v>
      </c>
      <c r="S106">
        <v>159</v>
      </c>
      <c r="T106">
        <v>45</v>
      </c>
      <c r="U106">
        <v>0</v>
      </c>
      <c r="V106" t="s">
        <v>669</v>
      </c>
      <c r="W106">
        <v>5.8</v>
      </c>
      <c r="X106" t="s">
        <v>42</v>
      </c>
      <c r="Y106" t="s">
        <v>520</v>
      </c>
      <c r="Z106" t="s">
        <v>290</v>
      </c>
      <c r="AA106" t="b">
        <v>0</v>
      </c>
      <c r="AB106">
        <v>0</v>
      </c>
      <c r="AC106" t="str">
        <f t="shared" si="5"/>
        <v>No Coupon Applied</v>
      </c>
      <c r="AD106" t="str">
        <f>VLOOKUP(K106,'restaurant name correction'!$A$1:$B$44,2,0)</f>
        <v>Cafe Amudham</v>
      </c>
      <c r="AE106" t="str">
        <f>VLOOKUP(Z106,restaurant_area_correction!$A$1:$B$18,2,0)</f>
        <v>Koramangala</v>
      </c>
      <c r="AF106">
        <f t="shared" si="6"/>
        <v>0</v>
      </c>
      <c r="AG106" s="11">
        <f t="shared" si="7"/>
        <v>45123</v>
      </c>
      <c r="AH106" s="12">
        <f t="shared" si="8"/>
        <v>0.42475694444146939</v>
      </c>
      <c r="AI106" t="str">
        <f t="shared" si="9"/>
        <v>Sunday</v>
      </c>
      <c r="AJ106" t="str">
        <f>VLOOKUP(HOUR(Orders[[#This Row],[Time]]),$AQ$1:$AR$7,2,1)</f>
        <v>Late Morning</v>
      </c>
      <c r="AK106" t="str">
        <f>IF(Orders[[#This Row],[rain_mode]]=0,"Sunny","Rainy")</f>
        <v>Sunny</v>
      </c>
    </row>
    <row r="107" spans="1:37" x14ac:dyDescent="0.35">
      <c r="A107">
        <v>171953923401</v>
      </c>
      <c r="B107" t="b">
        <v>0</v>
      </c>
      <c r="C107" t="s">
        <v>42</v>
      </c>
      <c r="D107" t="s">
        <v>42</v>
      </c>
      <c r="E107" t="s">
        <v>670</v>
      </c>
      <c r="F107">
        <v>0</v>
      </c>
      <c r="G107" t="s">
        <v>32</v>
      </c>
      <c r="H107" t="s">
        <v>33</v>
      </c>
      <c r="I107" t="s">
        <v>671</v>
      </c>
      <c r="J107" t="s">
        <v>672</v>
      </c>
      <c r="K107" t="s">
        <v>673</v>
      </c>
      <c r="L107" t="s">
        <v>674</v>
      </c>
      <c r="M107" t="s">
        <v>675</v>
      </c>
      <c r="N107" t="s">
        <v>39</v>
      </c>
      <c r="O107">
        <v>2648</v>
      </c>
      <c r="P107">
        <v>1136</v>
      </c>
      <c r="Q107">
        <v>1136</v>
      </c>
      <c r="R107">
        <v>1136</v>
      </c>
      <c r="S107">
        <v>1050</v>
      </c>
      <c r="T107">
        <v>29</v>
      </c>
      <c r="U107">
        <v>0</v>
      </c>
      <c r="V107" t="s">
        <v>676</v>
      </c>
      <c r="W107">
        <v>1.7</v>
      </c>
      <c r="X107" t="s">
        <v>42</v>
      </c>
      <c r="Y107" t="s">
        <v>520</v>
      </c>
      <c r="Z107" t="s">
        <v>114</v>
      </c>
      <c r="AA107" t="b">
        <v>0</v>
      </c>
      <c r="AB107">
        <v>0</v>
      </c>
      <c r="AC107" t="str">
        <f t="shared" si="5"/>
        <v>No Coupon Applied</v>
      </c>
      <c r="AD107" t="str">
        <f>VLOOKUP(K107,'restaurant name correction'!$A$1:$B$44,2,0)</f>
        <v>Table for Tous</v>
      </c>
      <c r="AE107" t="str">
        <f>VLOOKUP(Z107,restaurant_area_correction!$A$1:$B$18,2,0)</f>
        <v>HSR</v>
      </c>
      <c r="AF107">
        <f t="shared" si="6"/>
        <v>0</v>
      </c>
      <c r="AG107" s="11">
        <f t="shared" si="7"/>
        <v>45116</v>
      </c>
      <c r="AH107" s="12">
        <f t="shared" si="8"/>
        <v>0.43662037036847323</v>
      </c>
      <c r="AI107" t="str">
        <f t="shared" si="9"/>
        <v>Sunday</v>
      </c>
      <c r="AJ107" t="str">
        <f>VLOOKUP(HOUR(Orders[[#This Row],[Time]]),$AQ$1:$AR$7,2,1)</f>
        <v>Late Morning</v>
      </c>
      <c r="AK107" t="str">
        <f>IF(Orders[[#This Row],[rain_mode]]=0,"Sunny","Rainy")</f>
        <v>Sunny</v>
      </c>
    </row>
    <row r="108" spans="1:37" x14ac:dyDescent="0.35">
      <c r="A108">
        <v>171863054117</v>
      </c>
      <c r="B108" t="b">
        <v>1</v>
      </c>
      <c r="C108" t="s">
        <v>126</v>
      </c>
      <c r="D108" t="s">
        <v>677</v>
      </c>
      <c r="E108" t="s">
        <v>678</v>
      </c>
      <c r="F108">
        <v>0</v>
      </c>
      <c r="G108" t="s">
        <v>32</v>
      </c>
      <c r="H108" t="s">
        <v>33</v>
      </c>
      <c r="I108" t="s">
        <v>679</v>
      </c>
      <c r="J108" t="s">
        <v>665</v>
      </c>
      <c r="K108" t="s">
        <v>666</v>
      </c>
      <c r="L108" t="s">
        <v>667</v>
      </c>
      <c r="M108" t="s">
        <v>668</v>
      </c>
      <c r="N108" t="s">
        <v>39</v>
      </c>
      <c r="O108">
        <v>1734</v>
      </c>
      <c r="P108">
        <v>170</v>
      </c>
      <c r="Q108">
        <v>170</v>
      </c>
      <c r="R108">
        <v>170</v>
      </c>
      <c r="S108">
        <v>179</v>
      </c>
      <c r="T108">
        <v>47</v>
      </c>
      <c r="U108">
        <v>0</v>
      </c>
      <c r="V108" t="s">
        <v>669</v>
      </c>
      <c r="W108">
        <v>6</v>
      </c>
      <c r="X108" t="s">
        <v>126</v>
      </c>
      <c r="Y108" t="s">
        <v>520</v>
      </c>
      <c r="Z108" t="s">
        <v>290</v>
      </c>
      <c r="AA108" t="b">
        <v>1</v>
      </c>
      <c r="AB108">
        <v>0</v>
      </c>
      <c r="AC108" t="str">
        <f t="shared" si="5"/>
        <v>TRYNEW</v>
      </c>
      <c r="AD108" t="str">
        <f>VLOOKUP(K108,'restaurant name correction'!$A$1:$B$44,2,0)</f>
        <v>Cafe Amudham</v>
      </c>
      <c r="AE108" t="str">
        <f>VLOOKUP(Z108,restaurant_area_correction!$A$1:$B$18,2,0)</f>
        <v>Koramangala</v>
      </c>
      <c r="AF108">
        <f t="shared" si="6"/>
        <v>35.799999999999997</v>
      </c>
      <c r="AG108" s="11">
        <f t="shared" si="7"/>
        <v>45115</v>
      </c>
      <c r="AH108" s="12">
        <f t="shared" si="8"/>
        <v>0.38489583333284827</v>
      </c>
      <c r="AI108" t="str">
        <f t="shared" si="9"/>
        <v>Saturday</v>
      </c>
      <c r="AJ108" t="str">
        <f>VLOOKUP(HOUR(Orders[[#This Row],[Time]]),$AQ$1:$AR$7,2,1)</f>
        <v>Late Morning</v>
      </c>
      <c r="AK108" t="str">
        <f>IF(Orders[[#This Row],[rain_mode]]=0,"Sunny","Rainy")</f>
        <v>Sunny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2CD4-9D0A-446F-A32E-596FF0DF43E0}">
  <dimension ref="A1:E171"/>
  <sheetViews>
    <sheetView workbookViewId="0">
      <selection activeCell="E3" sqref="E3"/>
    </sheetView>
  </sheetViews>
  <sheetFormatPr defaultRowHeight="14.5" x14ac:dyDescent="0.35"/>
  <cols>
    <col min="1" max="1" width="21" customWidth="1"/>
    <col min="2" max="2" width="21.36328125" customWidth="1"/>
    <col min="3" max="3" width="26.1796875" customWidth="1"/>
    <col min="4" max="4" width="20.7265625" customWidth="1"/>
    <col min="5" max="5" width="10.26953125" customWidth="1"/>
  </cols>
  <sheetData>
    <row r="1" spans="1:5" x14ac:dyDescent="0.35">
      <c r="A1" s="2" t="s">
        <v>0</v>
      </c>
      <c r="B1" s="3" t="s">
        <v>680</v>
      </c>
      <c r="C1" s="3" t="s">
        <v>681</v>
      </c>
      <c r="D1" s="3" t="s">
        <v>682</v>
      </c>
      <c r="E1" s="3" t="s">
        <v>683</v>
      </c>
    </row>
    <row r="2" spans="1:5" x14ac:dyDescent="0.35">
      <c r="A2" s="4">
        <v>175244332362622</v>
      </c>
      <c r="B2" s="5" t="s">
        <v>684</v>
      </c>
      <c r="C2" s="5">
        <v>0</v>
      </c>
      <c r="D2" s="5">
        <v>1</v>
      </c>
      <c r="E2" s="5" t="str">
        <f>IF(C2=0,"Non_Veg","Veg")</f>
        <v>Non_Veg</v>
      </c>
    </row>
    <row r="3" spans="1:5" x14ac:dyDescent="0.35">
      <c r="A3" s="6">
        <v>175167017704058</v>
      </c>
      <c r="B3" s="7" t="s">
        <v>685</v>
      </c>
      <c r="C3" s="7">
        <v>0</v>
      </c>
      <c r="D3" s="7">
        <v>1</v>
      </c>
      <c r="E3" s="5" t="str">
        <f t="shared" ref="E3:E66" si="0">IF(C3=0,"Non_Veg","Veg")</f>
        <v>Non_Veg</v>
      </c>
    </row>
    <row r="4" spans="1:5" x14ac:dyDescent="0.35">
      <c r="A4" s="4">
        <v>175167017704058</v>
      </c>
      <c r="B4" s="5" t="s">
        <v>686</v>
      </c>
      <c r="C4" s="5">
        <v>0</v>
      </c>
      <c r="D4" s="5">
        <v>1</v>
      </c>
      <c r="E4" s="5" t="str">
        <f t="shared" si="0"/>
        <v>Non_Veg</v>
      </c>
    </row>
    <row r="5" spans="1:5" x14ac:dyDescent="0.35">
      <c r="A5" s="6">
        <v>175017114796029</v>
      </c>
      <c r="B5" s="7" t="s">
        <v>687</v>
      </c>
      <c r="C5" s="7">
        <v>0</v>
      </c>
      <c r="D5" s="7">
        <v>1</v>
      </c>
      <c r="E5" s="5" t="str">
        <f t="shared" si="0"/>
        <v>Non_Veg</v>
      </c>
    </row>
    <row r="6" spans="1:5" x14ac:dyDescent="0.35">
      <c r="A6" s="4">
        <v>175017114796029</v>
      </c>
      <c r="B6" s="5" t="s">
        <v>688</v>
      </c>
      <c r="C6" s="5">
        <v>1</v>
      </c>
      <c r="D6" s="5">
        <v>1</v>
      </c>
      <c r="E6" s="5" t="str">
        <f t="shared" si="0"/>
        <v>Veg</v>
      </c>
    </row>
    <row r="7" spans="1:5" x14ac:dyDescent="0.35">
      <c r="A7" s="6">
        <v>174973046023416</v>
      </c>
      <c r="B7" s="7" t="s">
        <v>689</v>
      </c>
      <c r="C7" s="7">
        <v>1</v>
      </c>
      <c r="D7" s="7">
        <v>1</v>
      </c>
      <c r="E7" s="5" t="str">
        <f t="shared" si="0"/>
        <v>Veg</v>
      </c>
    </row>
    <row r="8" spans="1:5" x14ac:dyDescent="0.35">
      <c r="A8" s="4">
        <v>174973046023416</v>
      </c>
      <c r="B8" s="5" t="s">
        <v>690</v>
      </c>
      <c r="C8" s="5">
        <v>1</v>
      </c>
      <c r="D8" s="5">
        <v>1</v>
      </c>
      <c r="E8" s="5" t="str">
        <f t="shared" si="0"/>
        <v>Veg</v>
      </c>
    </row>
    <row r="9" spans="1:5" x14ac:dyDescent="0.35">
      <c r="A9" s="6">
        <v>174906705849277</v>
      </c>
      <c r="B9" s="7" t="s">
        <v>691</v>
      </c>
      <c r="C9" s="7">
        <v>0</v>
      </c>
      <c r="D9" s="7">
        <v>1</v>
      </c>
      <c r="E9" s="5" t="str">
        <f t="shared" si="0"/>
        <v>Non_Veg</v>
      </c>
    </row>
    <row r="10" spans="1:5" x14ac:dyDescent="0.35">
      <c r="A10" s="4">
        <v>174906705849277</v>
      </c>
      <c r="B10" s="5" t="s">
        <v>692</v>
      </c>
      <c r="C10" s="5">
        <v>1</v>
      </c>
      <c r="D10" s="5">
        <v>1</v>
      </c>
      <c r="E10" s="5" t="str">
        <f t="shared" si="0"/>
        <v>Veg</v>
      </c>
    </row>
    <row r="11" spans="1:5" x14ac:dyDescent="0.35">
      <c r="A11" s="6">
        <v>174329455765789</v>
      </c>
      <c r="B11" s="7" t="s">
        <v>693</v>
      </c>
      <c r="C11" s="7">
        <v>1</v>
      </c>
      <c r="D11" s="7">
        <v>1</v>
      </c>
      <c r="E11" s="5" t="str">
        <f t="shared" si="0"/>
        <v>Veg</v>
      </c>
    </row>
    <row r="12" spans="1:5" x14ac:dyDescent="0.35">
      <c r="A12" s="4">
        <v>174329455765789</v>
      </c>
      <c r="B12" s="5" t="s">
        <v>694</v>
      </c>
      <c r="C12" s="5">
        <v>0</v>
      </c>
      <c r="D12" s="5">
        <v>1</v>
      </c>
      <c r="E12" s="5" t="str">
        <f t="shared" si="0"/>
        <v>Non_Veg</v>
      </c>
    </row>
    <row r="13" spans="1:5" x14ac:dyDescent="0.35">
      <c r="A13" s="6">
        <v>174318296922309</v>
      </c>
      <c r="B13" s="7" t="s">
        <v>695</v>
      </c>
      <c r="C13" s="7">
        <v>1</v>
      </c>
      <c r="D13" s="7">
        <v>1</v>
      </c>
      <c r="E13" s="5" t="str">
        <f t="shared" si="0"/>
        <v>Veg</v>
      </c>
    </row>
    <row r="14" spans="1:5" x14ac:dyDescent="0.35">
      <c r="A14" s="4">
        <v>174318296922309</v>
      </c>
      <c r="B14" s="5" t="s">
        <v>696</v>
      </c>
      <c r="C14" s="5">
        <v>1</v>
      </c>
      <c r="D14" s="5">
        <v>1</v>
      </c>
      <c r="E14" s="5" t="str">
        <f t="shared" si="0"/>
        <v>Veg</v>
      </c>
    </row>
    <row r="15" spans="1:5" x14ac:dyDescent="0.35">
      <c r="A15" s="6">
        <v>174118005152904</v>
      </c>
      <c r="B15" s="7" t="s">
        <v>697</v>
      </c>
      <c r="C15" s="7">
        <v>0</v>
      </c>
      <c r="D15" s="7">
        <v>1</v>
      </c>
      <c r="E15" s="5" t="str">
        <f t="shared" si="0"/>
        <v>Non_Veg</v>
      </c>
    </row>
    <row r="16" spans="1:5" x14ac:dyDescent="0.35">
      <c r="A16" s="4">
        <v>174075356745024</v>
      </c>
      <c r="B16" s="5" t="s">
        <v>698</v>
      </c>
      <c r="C16" s="5">
        <v>0</v>
      </c>
      <c r="D16" s="5">
        <v>1</v>
      </c>
      <c r="E16" s="5" t="str">
        <f t="shared" si="0"/>
        <v>Non_Veg</v>
      </c>
    </row>
    <row r="17" spans="1:5" x14ac:dyDescent="0.35">
      <c r="A17" s="6">
        <v>174075356745024</v>
      </c>
      <c r="B17" s="7" t="s">
        <v>699</v>
      </c>
      <c r="C17" s="7">
        <v>1</v>
      </c>
      <c r="D17" s="7">
        <v>1</v>
      </c>
      <c r="E17" s="5" t="str">
        <f t="shared" si="0"/>
        <v>Veg</v>
      </c>
    </row>
    <row r="18" spans="1:5" x14ac:dyDescent="0.35">
      <c r="A18" s="4">
        <v>174067299373268</v>
      </c>
      <c r="B18" s="5" t="s">
        <v>699</v>
      </c>
      <c r="C18" s="5">
        <v>1</v>
      </c>
      <c r="D18" s="5">
        <v>1</v>
      </c>
      <c r="E18" s="5" t="str">
        <f t="shared" si="0"/>
        <v>Veg</v>
      </c>
    </row>
    <row r="19" spans="1:5" x14ac:dyDescent="0.35">
      <c r="A19" s="6">
        <v>174067299373268</v>
      </c>
      <c r="B19" s="7" t="s">
        <v>700</v>
      </c>
      <c r="C19" s="7">
        <v>0</v>
      </c>
      <c r="D19" s="7">
        <v>1</v>
      </c>
      <c r="E19" s="5" t="str">
        <f t="shared" si="0"/>
        <v>Non_Veg</v>
      </c>
    </row>
    <row r="20" spans="1:5" x14ac:dyDescent="0.35">
      <c r="A20" s="4">
        <v>174058332503576</v>
      </c>
      <c r="B20" s="5" t="s">
        <v>701</v>
      </c>
      <c r="C20" s="5">
        <v>0</v>
      </c>
      <c r="D20" s="5">
        <v>1</v>
      </c>
      <c r="E20" s="5" t="str">
        <f t="shared" si="0"/>
        <v>Non_Veg</v>
      </c>
    </row>
    <row r="21" spans="1:5" x14ac:dyDescent="0.35">
      <c r="A21" s="6">
        <v>174037702433562</v>
      </c>
      <c r="B21" s="7" t="s">
        <v>702</v>
      </c>
      <c r="C21" s="7">
        <v>0</v>
      </c>
      <c r="D21" s="7">
        <v>1</v>
      </c>
      <c r="E21" s="5" t="str">
        <f t="shared" si="0"/>
        <v>Non_Veg</v>
      </c>
    </row>
    <row r="22" spans="1:5" x14ac:dyDescent="0.35">
      <c r="A22" s="4">
        <v>174026206595017</v>
      </c>
      <c r="B22" s="5" t="s">
        <v>689</v>
      </c>
      <c r="C22" s="5">
        <v>1</v>
      </c>
      <c r="D22" s="5">
        <v>1</v>
      </c>
      <c r="E22" s="5" t="str">
        <f t="shared" si="0"/>
        <v>Veg</v>
      </c>
    </row>
    <row r="23" spans="1:5" x14ac:dyDescent="0.35">
      <c r="A23" s="6">
        <v>173972919485563</v>
      </c>
      <c r="B23" s="7" t="s">
        <v>684</v>
      </c>
      <c r="C23" s="7">
        <v>0</v>
      </c>
      <c r="D23" s="7">
        <v>1</v>
      </c>
      <c r="E23" s="5" t="str">
        <f t="shared" si="0"/>
        <v>Non_Veg</v>
      </c>
    </row>
    <row r="24" spans="1:5" x14ac:dyDescent="0.35">
      <c r="A24" s="4">
        <v>173961191807457</v>
      </c>
      <c r="B24" s="5" t="s">
        <v>703</v>
      </c>
      <c r="C24" s="5">
        <v>0</v>
      </c>
      <c r="D24" s="5">
        <v>1</v>
      </c>
      <c r="E24" s="5" t="str">
        <f t="shared" si="0"/>
        <v>Non_Veg</v>
      </c>
    </row>
    <row r="25" spans="1:5" x14ac:dyDescent="0.35">
      <c r="A25" s="6">
        <v>173961191807457</v>
      </c>
      <c r="B25" s="7" t="s">
        <v>704</v>
      </c>
      <c r="C25" s="7">
        <v>0</v>
      </c>
      <c r="D25" s="7">
        <v>1</v>
      </c>
      <c r="E25" s="5" t="str">
        <f t="shared" si="0"/>
        <v>Non_Veg</v>
      </c>
    </row>
    <row r="26" spans="1:5" x14ac:dyDescent="0.35">
      <c r="A26" s="4">
        <v>173953404362535</v>
      </c>
      <c r="B26" s="5" t="s">
        <v>691</v>
      </c>
      <c r="C26" s="5">
        <v>0</v>
      </c>
      <c r="D26" s="5">
        <v>1</v>
      </c>
      <c r="E26" s="5" t="str">
        <f t="shared" si="0"/>
        <v>Non_Veg</v>
      </c>
    </row>
    <row r="27" spans="1:5" x14ac:dyDescent="0.35">
      <c r="A27" s="6">
        <v>173953404362535</v>
      </c>
      <c r="B27" s="7" t="s">
        <v>692</v>
      </c>
      <c r="C27" s="7">
        <v>1</v>
      </c>
      <c r="D27" s="7">
        <v>1</v>
      </c>
      <c r="E27" s="5" t="str">
        <f t="shared" si="0"/>
        <v>Veg</v>
      </c>
    </row>
    <row r="28" spans="1:5" x14ac:dyDescent="0.35">
      <c r="A28" s="4">
        <v>173934793528823</v>
      </c>
      <c r="B28" s="5" t="s">
        <v>689</v>
      </c>
      <c r="C28" s="5">
        <v>1</v>
      </c>
      <c r="D28" s="5">
        <v>1</v>
      </c>
      <c r="E28" s="5" t="str">
        <f t="shared" si="0"/>
        <v>Veg</v>
      </c>
    </row>
    <row r="29" spans="1:5" x14ac:dyDescent="0.35">
      <c r="A29" s="6">
        <v>173886476249693</v>
      </c>
      <c r="B29" s="7" t="s">
        <v>689</v>
      </c>
      <c r="C29" s="7">
        <v>1</v>
      </c>
      <c r="D29" s="7">
        <v>1</v>
      </c>
      <c r="E29" s="5" t="str">
        <f t="shared" si="0"/>
        <v>Veg</v>
      </c>
    </row>
    <row r="30" spans="1:5" x14ac:dyDescent="0.35">
      <c r="A30" s="4">
        <v>173886476249693</v>
      </c>
      <c r="B30" s="5" t="s">
        <v>705</v>
      </c>
      <c r="C30" s="5">
        <v>1</v>
      </c>
      <c r="D30" s="5">
        <v>1</v>
      </c>
      <c r="E30" s="5" t="str">
        <f t="shared" si="0"/>
        <v>Veg</v>
      </c>
    </row>
    <row r="31" spans="1:5" x14ac:dyDescent="0.35">
      <c r="A31" s="6">
        <v>173848012476255</v>
      </c>
      <c r="B31" s="7" t="s">
        <v>689</v>
      </c>
      <c r="C31" s="7">
        <v>1</v>
      </c>
      <c r="D31" s="7">
        <v>1</v>
      </c>
      <c r="E31" s="5" t="str">
        <f t="shared" si="0"/>
        <v>Veg</v>
      </c>
    </row>
    <row r="32" spans="1:5" x14ac:dyDescent="0.35">
      <c r="A32" s="4">
        <v>173848012476255</v>
      </c>
      <c r="B32" s="5" t="s">
        <v>706</v>
      </c>
      <c r="C32" s="5">
        <v>1</v>
      </c>
      <c r="D32" s="5">
        <v>1</v>
      </c>
      <c r="E32" s="5" t="str">
        <f t="shared" si="0"/>
        <v>Veg</v>
      </c>
    </row>
    <row r="33" spans="1:5" x14ac:dyDescent="0.35">
      <c r="A33" s="6">
        <v>173787961265182</v>
      </c>
      <c r="B33" s="7" t="s">
        <v>707</v>
      </c>
      <c r="C33" s="7">
        <v>1</v>
      </c>
      <c r="D33" s="7">
        <v>1</v>
      </c>
      <c r="E33" s="5" t="str">
        <f t="shared" si="0"/>
        <v>Veg</v>
      </c>
    </row>
    <row r="34" spans="1:5" x14ac:dyDescent="0.35">
      <c r="A34" s="4">
        <v>173787961265182</v>
      </c>
      <c r="B34" s="5" t="s">
        <v>708</v>
      </c>
      <c r="C34" s="5">
        <v>0</v>
      </c>
      <c r="D34" s="5">
        <v>1</v>
      </c>
      <c r="E34" s="5" t="str">
        <f t="shared" si="0"/>
        <v>Non_Veg</v>
      </c>
    </row>
    <row r="35" spans="1:5" x14ac:dyDescent="0.35">
      <c r="A35" s="6">
        <v>173787961265182</v>
      </c>
      <c r="B35" s="7" t="s">
        <v>701</v>
      </c>
      <c r="C35" s="7">
        <v>0</v>
      </c>
      <c r="D35" s="7">
        <v>1</v>
      </c>
      <c r="E35" s="5" t="str">
        <f t="shared" si="0"/>
        <v>Non_Veg</v>
      </c>
    </row>
    <row r="36" spans="1:5" x14ac:dyDescent="0.35">
      <c r="A36" s="4">
        <v>173627120783219</v>
      </c>
      <c r="B36" s="5" t="s">
        <v>709</v>
      </c>
      <c r="C36" s="5">
        <v>0</v>
      </c>
      <c r="D36" s="5">
        <v>1</v>
      </c>
      <c r="E36" s="5" t="str">
        <f t="shared" si="0"/>
        <v>Non_Veg</v>
      </c>
    </row>
    <row r="37" spans="1:5" x14ac:dyDescent="0.35">
      <c r="A37" s="6">
        <v>173528899495632</v>
      </c>
      <c r="B37" s="7" t="s">
        <v>696</v>
      </c>
      <c r="C37" s="7">
        <v>1</v>
      </c>
      <c r="D37" s="7">
        <v>1</v>
      </c>
      <c r="E37" s="5" t="str">
        <f t="shared" si="0"/>
        <v>Veg</v>
      </c>
    </row>
    <row r="38" spans="1:5" x14ac:dyDescent="0.35">
      <c r="A38" s="4">
        <v>173528899495632</v>
      </c>
      <c r="B38" s="5" t="s">
        <v>684</v>
      </c>
      <c r="C38" s="5">
        <v>0</v>
      </c>
      <c r="D38" s="5">
        <v>2</v>
      </c>
      <c r="E38" s="5" t="str">
        <f t="shared" si="0"/>
        <v>Non_Veg</v>
      </c>
    </row>
    <row r="39" spans="1:5" x14ac:dyDescent="0.35">
      <c r="A39" s="6">
        <v>173508364352211</v>
      </c>
      <c r="B39" s="7" t="s">
        <v>710</v>
      </c>
      <c r="C39" s="7">
        <v>1</v>
      </c>
      <c r="D39" s="7">
        <v>1</v>
      </c>
      <c r="E39" s="5" t="str">
        <f t="shared" si="0"/>
        <v>Veg</v>
      </c>
    </row>
    <row r="40" spans="1:5" x14ac:dyDescent="0.35">
      <c r="A40" s="4">
        <v>173508364352211</v>
      </c>
      <c r="B40" s="5" t="s">
        <v>711</v>
      </c>
      <c r="C40" s="5">
        <v>1</v>
      </c>
      <c r="D40" s="5">
        <v>2</v>
      </c>
      <c r="E40" s="5" t="str">
        <f t="shared" si="0"/>
        <v>Veg</v>
      </c>
    </row>
    <row r="41" spans="1:5" x14ac:dyDescent="0.35">
      <c r="A41" s="6">
        <v>173162395766364</v>
      </c>
      <c r="B41" s="7" t="s">
        <v>690</v>
      </c>
      <c r="C41" s="7">
        <v>1</v>
      </c>
      <c r="D41" s="7">
        <v>2</v>
      </c>
      <c r="E41" s="5" t="str">
        <f t="shared" si="0"/>
        <v>Veg</v>
      </c>
    </row>
    <row r="42" spans="1:5" x14ac:dyDescent="0.35">
      <c r="A42" s="4">
        <v>173162395766364</v>
      </c>
      <c r="B42" s="5" t="s">
        <v>711</v>
      </c>
      <c r="C42" s="5">
        <v>1</v>
      </c>
      <c r="D42" s="5">
        <v>1</v>
      </c>
      <c r="E42" s="5" t="str">
        <f t="shared" si="0"/>
        <v>Veg</v>
      </c>
    </row>
    <row r="43" spans="1:5" x14ac:dyDescent="0.35">
      <c r="A43" s="6">
        <v>173162271836174</v>
      </c>
      <c r="B43" s="7" t="s">
        <v>711</v>
      </c>
      <c r="C43" s="7">
        <v>1</v>
      </c>
      <c r="D43" s="7">
        <v>1</v>
      </c>
      <c r="E43" s="5" t="str">
        <f t="shared" si="0"/>
        <v>Veg</v>
      </c>
    </row>
    <row r="44" spans="1:5" x14ac:dyDescent="0.35">
      <c r="A44" s="4">
        <v>173162271836174</v>
      </c>
      <c r="B44" s="5" t="s">
        <v>690</v>
      </c>
      <c r="C44" s="5">
        <v>1</v>
      </c>
      <c r="D44" s="5">
        <v>2</v>
      </c>
      <c r="E44" s="5" t="str">
        <f t="shared" si="0"/>
        <v>Veg</v>
      </c>
    </row>
    <row r="45" spans="1:5" x14ac:dyDescent="0.35">
      <c r="A45" s="6">
        <v>173021459533483</v>
      </c>
      <c r="B45" s="7" t="s">
        <v>712</v>
      </c>
      <c r="C45" s="7">
        <v>0</v>
      </c>
      <c r="D45" s="7">
        <v>1</v>
      </c>
      <c r="E45" s="5" t="str">
        <f t="shared" si="0"/>
        <v>Non_Veg</v>
      </c>
    </row>
    <row r="46" spans="1:5" x14ac:dyDescent="0.35">
      <c r="A46" s="4">
        <v>172937451496694</v>
      </c>
      <c r="B46" s="5" t="s">
        <v>713</v>
      </c>
      <c r="C46" s="5">
        <v>0</v>
      </c>
      <c r="D46" s="5">
        <v>1</v>
      </c>
      <c r="E46" s="5" t="str">
        <f t="shared" si="0"/>
        <v>Non_Veg</v>
      </c>
    </row>
    <row r="47" spans="1:5" x14ac:dyDescent="0.35">
      <c r="A47" s="6">
        <v>172865582370674</v>
      </c>
      <c r="B47" s="7" t="s">
        <v>714</v>
      </c>
      <c r="C47" s="7">
        <v>1</v>
      </c>
      <c r="D47" s="7">
        <v>1</v>
      </c>
      <c r="E47" s="5" t="str">
        <f t="shared" si="0"/>
        <v>Veg</v>
      </c>
    </row>
    <row r="48" spans="1:5" x14ac:dyDescent="0.35">
      <c r="A48" s="4">
        <v>172849812190412</v>
      </c>
      <c r="B48" s="5" t="s">
        <v>691</v>
      </c>
      <c r="C48" s="5">
        <v>0</v>
      </c>
      <c r="D48" s="5">
        <v>1</v>
      </c>
      <c r="E48" s="5" t="str">
        <f t="shared" si="0"/>
        <v>Non_Veg</v>
      </c>
    </row>
    <row r="49" spans="1:5" x14ac:dyDescent="0.35">
      <c r="A49" s="6">
        <v>172765721740638</v>
      </c>
      <c r="B49" s="7" t="s">
        <v>715</v>
      </c>
      <c r="C49" s="7">
        <v>0</v>
      </c>
      <c r="D49" s="7">
        <v>1</v>
      </c>
      <c r="E49" s="5" t="str">
        <f t="shared" si="0"/>
        <v>Non_Veg</v>
      </c>
    </row>
    <row r="50" spans="1:5" x14ac:dyDescent="0.35">
      <c r="A50" s="4">
        <v>172765721740638</v>
      </c>
      <c r="B50" s="5" t="s">
        <v>716</v>
      </c>
      <c r="C50" s="5">
        <v>0</v>
      </c>
      <c r="D50" s="5">
        <v>1</v>
      </c>
      <c r="E50" s="5" t="str">
        <f t="shared" si="0"/>
        <v>Non_Veg</v>
      </c>
    </row>
    <row r="51" spans="1:5" x14ac:dyDescent="0.35">
      <c r="A51" s="6">
        <v>172415621290914</v>
      </c>
      <c r="B51" s="7" t="s">
        <v>716</v>
      </c>
      <c r="C51" s="7">
        <v>0</v>
      </c>
      <c r="D51" s="7">
        <v>1</v>
      </c>
      <c r="E51" s="5" t="str">
        <f t="shared" si="0"/>
        <v>Non_Veg</v>
      </c>
    </row>
    <row r="52" spans="1:5" x14ac:dyDescent="0.35">
      <c r="A52" s="4">
        <v>171120236353593</v>
      </c>
      <c r="B52" s="5" t="s">
        <v>716</v>
      </c>
      <c r="C52" s="5">
        <v>0</v>
      </c>
      <c r="D52" s="5">
        <v>1</v>
      </c>
      <c r="E52" s="5" t="str">
        <f t="shared" si="0"/>
        <v>Non_Veg</v>
      </c>
    </row>
    <row r="53" spans="1:5" x14ac:dyDescent="0.35">
      <c r="A53" s="6">
        <v>170949181342493</v>
      </c>
      <c r="B53" s="7" t="s">
        <v>716</v>
      </c>
      <c r="C53" s="7">
        <v>0</v>
      </c>
      <c r="D53" s="7">
        <v>1</v>
      </c>
      <c r="E53" s="5" t="str">
        <f t="shared" si="0"/>
        <v>Non_Veg</v>
      </c>
    </row>
    <row r="54" spans="1:5" x14ac:dyDescent="0.35">
      <c r="A54" s="4">
        <v>170849767634192</v>
      </c>
      <c r="B54" s="5" t="s">
        <v>716</v>
      </c>
      <c r="C54" s="5">
        <v>0</v>
      </c>
      <c r="D54" s="5">
        <v>1</v>
      </c>
      <c r="E54" s="5" t="str">
        <f t="shared" si="0"/>
        <v>Non_Veg</v>
      </c>
    </row>
    <row r="55" spans="1:5" x14ac:dyDescent="0.35">
      <c r="A55" s="6">
        <v>170326417874188</v>
      </c>
      <c r="B55" s="7" t="s">
        <v>717</v>
      </c>
      <c r="C55" s="7">
        <v>0</v>
      </c>
      <c r="D55" s="7">
        <v>1</v>
      </c>
      <c r="E55" s="5" t="str">
        <f t="shared" si="0"/>
        <v>Non_Veg</v>
      </c>
    </row>
    <row r="56" spans="1:5" x14ac:dyDescent="0.35">
      <c r="A56" s="4">
        <v>169997934599848</v>
      </c>
      <c r="B56" s="5" t="s">
        <v>717</v>
      </c>
      <c r="C56" s="5">
        <v>0</v>
      </c>
      <c r="D56" s="5">
        <v>1</v>
      </c>
      <c r="E56" s="5" t="str">
        <f t="shared" si="0"/>
        <v>Non_Veg</v>
      </c>
    </row>
    <row r="57" spans="1:5" x14ac:dyDescent="0.35">
      <c r="A57" s="6">
        <v>169997934599848</v>
      </c>
      <c r="B57" s="7" t="s">
        <v>718</v>
      </c>
      <c r="C57" s="7">
        <v>0</v>
      </c>
      <c r="D57" s="7">
        <v>1</v>
      </c>
      <c r="E57" s="5" t="str">
        <f t="shared" si="0"/>
        <v>Non_Veg</v>
      </c>
    </row>
    <row r="58" spans="1:5" x14ac:dyDescent="0.35">
      <c r="A58" s="4">
        <v>169054716176265</v>
      </c>
      <c r="B58" s="5" t="s">
        <v>717</v>
      </c>
      <c r="C58" s="5">
        <v>0</v>
      </c>
      <c r="D58" s="5">
        <v>1</v>
      </c>
      <c r="E58" s="5" t="str">
        <f t="shared" si="0"/>
        <v>Non_Veg</v>
      </c>
    </row>
    <row r="59" spans="1:5" x14ac:dyDescent="0.35">
      <c r="A59" s="6">
        <v>168959031219038</v>
      </c>
      <c r="B59" s="7" t="s">
        <v>718</v>
      </c>
      <c r="C59" s="7">
        <v>0</v>
      </c>
      <c r="D59" s="7">
        <v>1</v>
      </c>
      <c r="E59" s="5" t="str">
        <f t="shared" si="0"/>
        <v>Non_Veg</v>
      </c>
    </row>
    <row r="60" spans="1:5" x14ac:dyDescent="0.35">
      <c r="A60" s="4">
        <v>168877172918547</v>
      </c>
      <c r="B60" s="5" t="s">
        <v>719</v>
      </c>
      <c r="C60" s="5">
        <v>0</v>
      </c>
      <c r="D60" s="5">
        <v>1</v>
      </c>
      <c r="E60" s="5" t="str">
        <f t="shared" si="0"/>
        <v>Non_Veg</v>
      </c>
    </row>
    <row r="61" spans="1:5" x14ac:dyDescent="0.35">
      <c r="A61" s="6">
        <v>168622214022977</v>
      </c>
      <c r="B61" s="7" t="s">
        <v>718</v>
      </c>
      <c r="C61" s="7">
        <v>0</v>
      </c>
      <c r="D61" s="7">
        <v>1</v>
      </c>
      <c r="E61" s="5" t="str">
        <f t="shared" si="0"/>
        <v>Non_Veg</v>
      </c>
    </row>
    <row r="62" spans="1:5" x14ac:dyDescent="0.35">
      <c r="A62" s="4">
        <v>168513609258675</v>
      </c>
      <c r="B62" s="5" t="s">
        <v>686</v>
      </c>
      <c r="C62" s="5">
        <v>0</v>
      </c>
      <c r="D62" s="5">
        <v>1</v>
      </c>
      <c r="E62" s="5" t="str">
        <f t="shared" si="0"/>
        <v>Non_Veg</v>
      </c>
    </row>
    <row r="63" spans="1:5" x14ac:dyDescent="0.35">
      <c r="A63" s="6">
        <v>168513609258675</v>
      </c>
      <c r="B63" s="7" t="s">
        <v>720</v>
      </c>
      <c r="C63" s="7">
        <v>0</v>
      </c>
      <c r="D63" s="7">
        <v>1</v>
      </c>
      <c r="E63" s="5" t="str">
        <f t="shared" si="0"/>
        <v>Non_Veg</v>
      </c>
    </row>
    <row r="64" spans="1:5" x14ac:dyDescent="0.35">
      <c r="A64" s="4">
        <v>168438354785516</v>
      </c>
      <c r="B64" s="5" t="s">
        <v>693</v>
      </c>
      <c r="C64" s="5">
        <v>1</v>
      </c>
      <c r="D64" s="5">
        <v>1</v>
      </c>
      <c r="E64" s="5" t="str">
        <f t="shared" si="0"/>
        <v>Veg</v>
      </c>
    </row>
    <row r="65" spans="1:5" x14ac:dyDescent="0.35">
      <c r="A65" s="6">
        <v>168293863851738</v>
      </c>
      <c r="B65" s="7" t="s">
        <v>721</v>
      </c>
      <c r="C65" s="7">
        <v>1</v>
      </c>
      <c r="D65" s="7">
        <v>1</v>
      </c>
      <c r="E65" s="5" t="str">
        <f t="shared" si="0"/>
        <v>Veg</v>
      </c>
    </row>
    <row r="66" spans="1:5" x14ac:dyDescent="0.35">
      <c r="A66" s="4">
        <v>168293863851738</v>
      </c>
      <c r="B66" s="5" t="s">
        <v>722</v>
      </c>
      <c r="C66" s="5">
        <v>1</v>
      </c>
      <c r="D66" s="5">
        <v>1</v>
      </c>
      <c r="E66" s="5" t="str">
        <f t="shared" si="0"/>
        <v>Veg</v>
      </c>
    </row>
    <row r="67" spans="1:5" x14ac:dyDescent="0.35">
      <c r="A67" s="6">
        <v>168028113662672</v>
      </c>
      <c r="B67" s="7" t="s">
        <v>723</v>
      </c>
      <c r="C67" s="7">
        <v>0</v>
      </c>
      <c r="D67" s="7">
        <v>1</v>
      </c>
      <c r="E67" s="5" t="str">
        <f t="shared" ref="E67:E130" si="1">IF(C67=0,"Non_Veg","Veg")</f>
        <v>Non_Veg</v>
      </c>
    </row>
    <row r="68" spans="1:5" x14ac:dyDescent="0.35">
      <c r="A68" s="4">
        <v>168013539245633</v>
      </c>
      <c r="B68" s="5" t="s">
        <v>718</v>
      </c>
      <c r="C68" s="5">
        <v>0</v>
      </c>
      <c r="D68" s="5">
        <v>1</v>
      </c>
      <c r="E68" s="5" t="str">
        <f t="shared" si="1"/>
        <v>Non_Veg</v>
      </c>
    </row>
    <row r="69" spans="1:5" x14ac:dyDescent="0.35">
      <c r="A69" s="6">
        <v>167927988529759</v>
      </c>
      <c r="B69" s="7" t="s">
        <v>723</v>
      </c>
      <c r="C69" s="7">
        <v>0</v>
      </c>
      <c r="D69" s="7">
        <v>1</v>
      </c>
      <c r="E69" s="5" t="str">
        <f t="shared" si="1"/>
        <v>Non_Veg</v>
      </c>
    </row>
    <row r="70" spans="1:5" x14ac:dyDescent="0.35">
      <c r="A70" s="4">
        <v>167230102604894</v>
      </c>
      <c r="B70" s="5" t="s">
        <v>724</v>
      </c>
      <c r="C70" s="5">
        <v>0</v>
      </c>
      <c r="D70" s="5">
        <v>1</v>
      </c>
      <c r="E70" s="5" t="str">
        <f t="shared" si="1"/>
        <v>Non_Veg</v>
      </c>
    </row>
    <row r="71" spans="1:5" x14ac:dyDescent="0.35">
      <c r="A71" s="6">
        <v>167230102604894</v>
      </c>
      <c r="B71" s="7" t="s">
        <v>725</v>
      </c>
      <c r="C71" s="7">
        <v>0</v>
      </c>
      <c r="D71" s="7">
        <v>1</v>
      </c>
      <c r="E71" s="5" t="str">
        <f t="shared" si="1"/>
        <v>Non_Veg</v>
      </c>
    </row>
    <row r="72" spans="1:5" x14ac:dyDescent="0.35">
      <c r="A72" s="4">
        <v>167065261006312</v>
      </c>
      <c r="B72" s="5" t="s">
        <v>726</v>
      </c>
      <c r="C72" s="5">
        <v>0</v>
      </c>
      <c r="D72" s="5">
        <v>1</v>
      </c>
      <c r="E72" s="5" t="str">
        <f t="shared" si="1"/>
        <v>Non_Veg</v>
      </c>
    </row>
    <row r="73" spans="1:5" x14ac:dyDescent="0.35">
      <c r="A73" s="6">
        <v>167041647226680</v>
      </c>
      <c r="B73" s="7" t="s">
        <v>718</v>
      </c>
      <c r="C73" s="7">
        <v>0</v>
      </c>
      <c r="D73" s="7">
        <v>1</v>
      </c>
      <c r="E73" s="5" t="str">
        <f t="shared" si="1"/>
        <v>Non_Veg</v>
      </c>
    </row>
    <row r="74" spans="1:5" x14ac:dyDescent="0.35">
      <c r="A74" s="4">
        <v>166952305677312</v>
      </c>
      <c r="B74" s="5" t="s">
        <v>727</v>
      </c>
      <c r="C74" s="5">
        <v>1</v>
      </c>
      <c r="D74" s="5">
        <v>1</v>
      </c>
      <c r="E74" s="5" t="str">
        <f t="shared" si="1"/>
        <v>Veg</v>
      </c>
    </row>
    <row r="75" spans="1:5" x14ac:dyDescent="0.35">
      <c r="A75" s="6">
        <v>166803724653459</v>
      </c>
      <c r="B75" s="7" t="s">
        <v>728</v>
      </c>
      <c r="C75" s="7">
        <v>0</v>
      </c>
      <c r="D75" s="7">
        <v>1</v>
      </c>
      <c r="E75" s="5" t="str">
        <f t="shared" si="1"/>
        <v>Non_Veg</v>
      </c>
    </row>
    <row r="76" spans="1:5" x14ac:dyDescent="0.35">
      <c r="A76" s="4">
        <v>165960896748502</v>
      </c>
      <c r="B76" s="5" t="s">
        <v>729</v>
      </c>
      <c r="C76" s="5">
        <v>1</v>
      </c>
      <c r="D76" s="5">
        <v>1</v>
      </c>
      <c r="E76" s="5" t="str">
        <f t="shared" si="1"/>
        <v>Veg</v>
      </c>
    </row>
    <row r="77" spans="1:5" x14ac:dyDescent="0.35">
      <c r="A77" s="6">
        <v>165960896748502</v>
      </c>
      <c r="B77" s="7" t="s">
        <v>730</v>
      </c>
      <c r="C77" s="7">
        <v>1</v>
      </c>
      <c r="D77" s="7">
        <v>1</v>
      </c>
      <c r="E77" s="5" t="str">
        <f t="shared" si="1"/>
        <v>Veg</v>
      </c>
    </row>
    <row r="78" spans="1:5" x14ac:dyDescent="0.35">
      <c r="A78" s="4">
        <v>165923274381702</v>
      </c>
      <c r="B78" s="5" t="s">
        <v>731</v>
      </c>
      <c r="C78" s="5">
        <v>0</v>
      </c>
      <c r="D78" s="5">
        <v>1</v>
      </c>
      <c r="E78" s="5" t="str">
        <f t="shared" si="1"/>
        <v>Non_Veg</v>
      </c>
    </row>
    <row r="79" spans="1:5" x14ac:dyDescent="0.35">
      <c r="A79" s="6">
        <v>165854296189400</v>
      </c>
      <c r="B79" s="7" t="s">
        <v>723</v>
      </c>
      <c r="C79" s="7">
        <v>0</v>
      </c>
      <c r="D79" s="7">
        <v>1</v>
      </c>
      <c r="E79" s="5" t="str">
        <f t="shared" si="1"/>
        <v>Non_Veg</v>
      </c>
    </row>
    <row r="80" spans="1:5" x14ac:dyDescent="0.35">
      <c r="A80" s="4">
        <v>165409130967084</v>
      </c>
      <c r="B80" s="5" t="s">
        <v>723</v>
      </c>
      <c r="C80" s="5">
        <v>0</v>
      </c>
      <c r="D80" s="5">
        <v>1</v>
      </c>
      <c r="E80" s="5" t="str">
        <f t="shared" si="1"/>
        <v>Non_Veg</v>
      </c>
    </row>
    <row r="81" spans="1:5" x14ac:dyDescent="0.35">
      <c r="A81" s="6">
        <v>165341581288776</v>
      </c>
      <c r="B81" s="7" t="s">
        <v>732</v>
      </c>
      <c r="C81" s="7">
        <v>1</v>
      </c>
      <c r="D81" s="7">
        <v>1</v>
      </c>
      <c r="E81" s="5" t="str">
        <f t="shared" si="1"/>
        <v>Veg</v>
      </c>
    </row>
    <row r="82" spans="1:5" x14ac:dyDescent="0.35">
      <c r="A82" s="4">
        <v>164743294943602</v>
      </c>
      <c r="B82" s="5" t="s">
        <v>733</v>
      </c>
      <c r="C82" s="5">
        <v>1</v>
      </c>
      <c r="D82" s="5">
        <v>1</v>
      </c>
      <c r="E82" s="5" t="str">
        <f t="shared" si="1"/>
        <v>Veg</v>
      </c>
    </row>
    <row r="83" spans="1:5" x14ac:dyDescent="0.35">
      <c r="A83" s="6">
        <v>164743294943602</v>
      </c>
      <c r="B83" s="7" t="s">
        <v>733</v>
      </c>
      <c r="C83" s="7">
        <v>1</v>
      </c>
      <c r="D83" s="7">
        <v>1</v>
      </c>
      <c r="E83" s="5" t="str">
        <f t="shared" si="1"/>
        <v>Veg</v>
      </c>
    </row>
    <row r="84" spans="1:5" x14ac:dyDescent="0.35">
      <c r="A84" s="4">
        <v>164714296625099</v>
      </c>
      <c r="B84" s="5" t="s">
        <v>723</v>
      </c>
      <c r="C84" s="5">
        <v>0</v>
      </c>
      <c r="D84" s="5">
        <v>1</v>
      </c>
      <c r="E84" s="5" t="str">
        <f t="shared" si="1"/>
        <v>Non_Veg</v>
      </c>
    </row>
    <row r="85" spans="1:5" x14ac:dyDescent="0.35">
      <c r="A85" s="6">
        <v>164376172877898</v>
      </c>
      <c r="B85" s="7" t="s">
        <v>734</v>
      </c>
      <c r="C85" s="7">
        <v>0</v>
      </c>
      <c r="D85" s="7">
        <v>1</v>
      </c>
      <c r="E85" s="5" t="str">
        <f t="shared" si="1"/>
        <v>Non_Veg</v>
      </c>
    </row>
    <row r="86" spans="1:5" x14ac:dyDescent="0.35">
      <c r="A86" s="4">
        <v>164376172877898</v>
      </c>
      <c r="B86" s="5" t="s">
        <v>727</v>
      </c>
      <c r="C86" s="5">
        <v>1</v>
      </c>
      <c r="D86" s="5">
        <v>1</v>
      </c>
      <c r="E86" s="5" t="str">
        <f t="shared" si="1"/>
        <v>Veg</v>
      </c>
    </row>
    <row r="87" spans="1:5" x14ac:dyDescent="0.35">
      <c r="A87" s="6">
        <v>164376172877898</v>
      </c>
      <c r="B87" s="7" t="s">
        <v>735</v>
      </c>
      <c r="C87" s="7">
        <v>0</v>
      </c>
      <c r="D87" s="7">
        <v>1</v>
      </c>
      <c r="E87" s="5" t="str">
        <f t="shared" si="1"/>
        <v>Non_Veg</v>
      </c>
    </row>
    <row r="88" spans="1:5" x14ac:dyDescent="0.35">
      <c r="A88" s="4">
        <v>164376027513893</v>
      </c>
      <c r="B88" s="5" t="s">
        <v>735</v>
      </c>
      <c r="C88" s="5">
        <v>0</v>
      </c>
      <c r="D88" s="5">
        <v>1</v>
      </c>
      <c r="E88" s="5" t="str">
        <f t="shared" si="1"/>
        <v>Non_Veg</v>
      </c>
    </row>
    <row r="89" spans="1:5" x14ac:dyDescent="0.35">
      <c r="A89" s="6">
        <v>164376027513893</v>
      </c>
      <c r="B89" s="7" t="s">
        <v>727</v>
      </c>
      <c r="C89" s="7">
        <v>1</v>
      </c>
      <c r="D89" s="7">
        <v>1</v>
      </c>
      <c r="E89" s="5" t="str">
        <f t="shared" si="1"/>
        <v>Veg</v>
      </c>
    </row>
    <row r="90" spans="1:5" x14ac:dyDescent="0.35">
      <c r="A90" s="4">
        <v>164191765873335</v>
      </c>
      <c r="B90" s="5" t="s">
        <v>736</v>
      </c>
      <c r="C90" s="5">
        <v>0</v>
      </c>
      <c r="D90" s="5">
        <v>1</v>
      </c>
      <c r="E90" s="5" t="str">
        <f t="shared" si="1"/>
        <v>Non_Veg</v>
      </c>
    </row>
    <row r="91" spans="1:5" x14ac:dyDescent="0.35">
      <c r="A91" s="6">
        <v>164191765873335</v>
      </c>
      <c r="B91" s="7" t="s">
        <v>737</v>
      </c>
      <c r="C91" s="7">
        <v>1</v>
      </c>
      <c r="D91" s="7">
        <v>1</v>
      </c>
      <c r="E91" s="5" t="str">
        <f t="shared" si="1"/>
        <v>Veg</v>
      </c>
    </row>
    <row r="92" spans="1:5" x14ac:dyDescent="0.35">
      <c r="A92" s="4">
        <v>163711888473406</v>
      </c>
      <c r="B92" s="5" t="s">
        <v>738</v>
      </c>
      <c r="C92" s="5">
        <v>1</v>
      </c>
      <c r="D92" s="5">
        <v>1</v>
      </c>
      <c r="E92" s="5" t="str">
        <f t="shared" si="1"/>
        <v>Veg</v>
      </c>
    </row>
    <row r="93" spans="1:5" x14ac:dyDescent="0.35">
      <c r="A93" s="6">
        <v>163004675209983</v>
      </c>
      <c r="B93" s="7" t="s">
        <v>724</v>
      </c>
      <c r="C93" s="7">
        <v>0</v>
      </c>
      <c r="D93" s="7">
        <v>1</v>
      </c>
      <c r="E93" s="5" t="str">
        <f t="shared" si="1"/>
        <v>Non_Veg</v>
      </c>
    </row>
    <row r="94" spans="1:5" x14ac:dyDescent="0.35">
      <c r="A94" s="4">
        <v>163004675209983</v>
      </c>
      <c r="B94" s="5" t="s">
        <v>725</v>
      </c>
      <c r="C94" s="5">
        <v>0</v>
      </c>
      <c r="D94" s="5">
        <v>1</v>
      </c>
      <c r="E94" s="5" t="str">
        <f t="shared" si="1"/>
        <v>Non_Veg</v>
      </c>
    </row>
    <row r="95" spans="1:5" x14ac:dyDescent="0.35">
      <c r="A95" s="6">
        <v>163004361179135</v>
      </c>
      <c r="B95" s="7" t="s">
        <v>693</v>
      </c>
      <c r="C95" s="7">
        <v>1</v>
      </c>
      <c r="D95" s="7">
        <v>1</v>
      </c>
      <c r="E95" s="5" t="str">
        <f t="shared" si="1"/>
        <v>Veg</v>
      </c>
    </row>
    <row r="96" spans="1:5" x14ac:dyDescent="0.35">
      <c r="A96" s="4">
        <v>162553743923962</v>
      </c>
      <c r="B96" s="5" t="s">
        <v>739</v>
      </c>
      <c r="C96" s="5">
        <v>0</v>
      </c>
      <c r="D96" s="5">
        <v>1</v>
      </c>
      <c r="E96" s="5" t="str">
        <f t="shared" si="1"/>
        <v>Non_Veg</v>
      </c>
    </row>
    <row r="97" spans="1:5" x14ac:dyDescent="0.35">
      <c r="A97" s="6">
        <v>162553743923962</v>
      </c>
      <c r="B97" s="7" t="s">
        <v>740</v>
      </c>
      <c r="C97" s="7">
        <v>0</v>
      </c>
      <c r="D97" s="7">
        <v>1</v>
      </c>
      <c r="E97" s="5" t="str">
        <f t="shared" si="1"/>
        <v>Non_Veg</v>
      </c>
    </row>
    <row r="98" spans="1:5" x14ac:dyDescent="0.35">
      <c r="A98" s="4">
        <v>162461263812077</v>
      </c>
      <c r="B98" s="5" t="s">
        <v>740</v>
      </c>
      <c r="C98" s="5">
        <v>0</v>
      </c>
      <c r="D98" s="5">
        <v>1</v>
      </c>
      <c r="E98" s="5" t="str">
        <f t="shared" si="1"/>
        <v>Non_Veg</v>
      </c>
    </row>
    <row r="99" spans="1:5" x14ac:dyDescent="0.35">
      <c r="A99" s="6">
        <v>161080636531967</v>
      </c>
      <c r="B99" s="7" t="s">
        <v>741</v>
      </c>
      <c r="C99" s="7">
        <v>0</v>
      </c>
      <c r="D99" s="7">
        <v>1</v>
      </c>
      <c r="E99" s="5" t="str">
        <f t="shared" si="1"/>
        <v>Non_Veg</v>
      </c>
    </row>
    <row r="100" spans="1:5" x14ac:dyDescent="0.35">
      <c r="A100" s="4">
        <v>160474594456670</v>
      </c>
      <c r="B100" s="5" t="s">
        <v>742</v>
      </c>
      <c r="C100" s="5">
        <v>0</v>
      </c>
      <c r="D100" s="5">
        <v>1</v>
      </c>
      <c r="E100" s="5" t="str">
        <f t="shared" si="1"/>
        <v>Non_Veg</v>
      </c>
    </row>
    <row r="101" spans="1:5" x14ac:dyDescent="0.35">
      <c r="A101" s="6">
        <v>159955886050893</v>
      </c>
      <c r="B101" s="7" t="s">
        <v>743</v>
      </c>
      <c r="C101" s="7">
        <v>0</v>
      </c>
      <c r="D101" s="7">
        <v>1</v>
      </c>
      <c r="E101" s="5" t="str">
        <f t="shared" si="1"/>
        <v>Non_Veg</v>
      </c>
    </row>
    <row r="102" spans="1:5" x14ac:dyDescent="0.35">
      <c r="A102" s="4">
        <v>159955886050893</v>
      </c>
      <c r="B102" s="5" t="s">
        <v>744</v>
      </c>
      <c r="C102" s="5">
        <v>1</v>
      </c>
      <c r="D102" s="5">
        <v>3</v>
      </c>
      <c r="E102" s="5" t="str">
        <f t="shared" si="1"/>
        <v>Veg</v>
      </c>
    </row>
    <row r="103" spans="1:5" x14ac:dyDescent="0.35">
      <c r="A103" s="6">
        <v>159700431113615</v>
      </c>
      <c r="B103" s="7" t="s">
        <v>745</v>
      </c>
      <c r="C103" s="7">
        <v>1</v>
      </c>
      <c r="D103" s="7">
        <v>1</v>
      </c>
      <c r="E103" s="5" t="str">
        <f t="shared" si="1"/>
        <v>Veg</v>
      </c>
    </row>
    <row r="104" spans="1:5" x14ac:dyDescent="0.35">
      <c r="A104" s="4">
        <v>159700431113615</v>
      </c>
      <c r="B104" s="5" t="s">
        <v>746</v>
      </c>
      <c r="C104" s="5">
        <v>1</v>
      </c>
      <c r="D104" s="5">
        <v>1</v>
      </c>
      <c r="E104" s="5" t="str">
        <f t="shared" si="1"/>
        <v>Veg</v>
      </c>
    </row>
    <row r="105" spans="1:5" x14ac:dyDescent="0.35">
      <c r="A105" s="6">
        <v>159024606634682</v>
      </c>
      <c r="B105" s="7" t="s">
        <v>744</v>
      </c>
      <c r="C105" s="7">
        <v>1</v>
      </c>
      <c r="D105" s="7">
        <v>2</v>
      </c>
      <c r="E105" s="5" t="str">
        <f t="shared" si="1"/>
        <v>Veg</v>
      </c>
    </row>
    <row r="106" spans="1:5" x14ac:dyDescent="0.35">
      <c r="A106" s="4">
        <v>159024606634682</v>
      </c>
      <c r="B106" s="5" t="s">
        <v>747</v>
      </c>
      <c r="C106" s="5">
        <v>1</v>
      </c>
      <c r="D106" s="5">
        <v>2</v>
      </c>
      <c r="E106" s="5" t="str">
        <f t="shared" si="1"/>
        <v>Veg</v>
      </c>
    </row>
    <row r="107" spans="1:5" x14ac:dyDescent="0.35">
      <c r="A107" s="6">
        <v>159024606634682</v>
      </c>
      <c r="B107" s="7" t="s">
        <v>748</v>
      </c>
      <c r="C107" s="7">
        <v>1</v>
      </c>
      <c r="D107" s="7">
        <v>1</v>
      </c>
      <c r="E107" s="5" t="str">
        <f t="shared" si="1"/>
        <v>Veg</v>
      </c>
    </row>
    <row r="108" spans="1:5" x14ac:dyDescent="0.35">
      <c r="A108" s="4">
        <v>159024606634682</v>
      </c>
      <c r="B108" s="5" t="s">
        <v>748</v>
      </c>
      <c r="C108" s="5">
        <v>1</v>
      </c>
      <c r="D108" s="5">
        <v>1</v>
      </c>
      <c r="E108" s="5" t="str">
        <f t="shared" si="1"/>
        <v>Veg</v>
      </c>
    </row>
    <row r="109" spans="1:5" x14ac:dyDescent="0.35">
      <c r="A109" s="6">
        <v>159024606634682</v>
      </c>
      <c r="B109" s="7" t="s">
        <v>749</v>
      </c>
      <c r="C109" s="7">
        <v>0</v>
      </c>
      <c r="D109" s="7">
        <v>1</v>
      </c>
      <c r="E109" s="5" t="str">
        <f t="shared" si="1"/>
        <v>Non_Veg</v>
      </c>
    </row>
    <row r="110" spans="1:5" x14ac:dyDescent="0.35">
      <c r="A110" s="4">
        <v>158421216354293</v>
      </c>
      <c r="B110" s="5" t="s">
        <v>750</v>
      </c>
      <c r="C110" s="5">
        <v>0</v>
      </c>
      <c r="D110" s="5">
        <v>1</v>
      </c>
      <c r="E110" s="5" t="str">
        <f t="shared" si="1"/>
        <v>Non_Veg</v>
      </c>
    </row>
    <row r="111" spans="1:5" x14ac:dyDescent="0.35">
      <c r="A111" s="6">
        <v>158421216354293</v>
      </c>
      <c r="B111" s="7" t="s">
        <v>751</v>
      </c>
      <c r="C111" s="7">
        <v>0</v>
      </c>
      <c r="D111" s="7">
        <v>1</v>
      </c>
      <c r="E111" s="5" t="str">
        <f t="shared" si="1"/>
        <v>Non_Veg</v>
      </c>
    </row>
    <row r="112" spans="1:5" x14ac:dyDescent="0.35">
      <c r="A112" s="4">
        <v>158334414702466</v>
      </c>
      <c r="B112" s="5" t="s">
        <v>713</v>
      </c>
      <c r="C112" s="5">
        <v>0</v>
      </c>
      <c r="D112" s="5">
        <v>1</v>
      </c>
      <c r="E112" s="5" t="str">
        <f t="shared" si="1"/>
        <v>Non_Veg</v>
      </c>
    </row>
    <row r="113" spans="1:5" x14ac:dyDescent="0.35">
      <c r="A113" s="6">
        <v>158133339719955</v>
      </c>
      <c r="B113" s="7" t="s">
        <v>716</v>
      </c>
      <c r="C113" s="7">
        <v>0</v>
      </c>
      <c r="D113" s="7">
        <v>1</v>
      </c>
      <c r="E113" s="5" t="str">
        <f t="shared" si="1"/>
        <v>Non_Veg</v>
      </c>
    </row>
    <row r="114" spans="1:5" x14ac:dyDescent="0.35">
      <c r="A114" s="4">
        <v>158078123542130</v>
      </c>
      <c r="B114" s="5" t="s">
        <v>752</v>
      </c>
      <c r="C114" s="5">
        <v>0</v>
      </c>
      <c r="D114" s="5">
        <v>1</v>
      </c>
      <c r="E114" s="5" t="str">
        <f t="shared" si="1"/>
        <v>Non_Veg</v>
      </c>
    </row>
    <row r="115" spans="1:5" x14ac:dyDescent="0.35">
      <c r="A115" s="6">
        <v>158041541026826</v>
      </c>
      <c r="B115" s="7" t="s">
        <v>753</v>
      </c>
      <c r="C115" s="7">
        <v>0</v>
      </c>
      <c r="D115" s="7">
        <v>1</v>
      </c>
      <c r="E115" s="5" t="str">
        <f t="shared" si="1"/>
        <v>Non_Veg</v>
      </c>
    </row>
    <row r="116" spans="1:5" x14ac:dyDescent="0.35">
      <c r="A116" s="4">
        <v>157279336071863</v>
      </c>
      <c r="B116" s="5" t="s">
        <v>754</v>
      </c>
      <c r="C116" s="5">
        <v>0</v>
      </c>
      <c r="D116" s="5">
        <v>1</v>
      </c>
      <c r="E116" s="5" t="str">
        <f t="shared" si="1"/>
        <v>Non_Veg</v>
      </c>
    </row>
    <row r="117" spans="1:5" x14ac:dyDescent="0.35">
      <c r="A117" s="6">
        <v>157212479386394</v>
      </c>
      <c r="B117" s="7" t="s">
        <v>755</v>
      </c>
      <c r="C117" s="7">
        <v>0</v>
      </c>
      <c r="D117" s="7">
        <v>1</v>
      </c>
      <c r="E117" s="5" t="str">
        <f t="shared" si="1"/>
        <v>Non_Veg</v>
      </c>
    </row>
    <row r="118" spans="1:5" x14ac:dyDescent="0.35">
      <c r="A118" s="4">
        <v>157095860714592</v>
      </c>
      <c r="B118" s="5" t="s">
        <v>756</v>
      </c>
      <c r="C118" s="5">
        <v>1</v>
      </c>
      <c r="D118" s="5">
        <v>1</v>
      </c>
      <c r="E118" s="5" t="str">
        <f t="shared" si="1"/>
        <v>Veg</v>
      </c>
    </row>
    <row r="119" spans="1:5" x14ac:dyDescent="0.35">
      <c r="A119" s="6">
        <v>157095860714592</v>
      </c>
      <c r="B119" s="7" t="s">
        <v>736</v>
      </c>
      <c r="C119" s="7">
        <v>0</v>
      </c>
      <c r="D119" s="7">
        <v>1</v>
      </c>
      <c r="E119" s="5" t="str">
        <f t="shared" si="1"/>
        <v>Non_Veg</v>
      </c>
    </row>
    <row r="120" spans="1:5" x14ac:dyDescent="0.35">
      <c r="A120" s="4">
        <v>156956128612767</v>
      </c>
      <c r="B120" s="5" t="s">
        <v>757</v>
      </c>
      <c r="C120" s="5">
        <v>1</v>
      </c>
      <c r="D120" s="5">
        <v>1</v>
      </c>
      <c r="E120" s="5" t="str">
        <f t="shared" si="1"/>
        <v>Veg</v>
      </c>
    </row>
    <row r="121" spans="1:5" x14ac:dyDescent="0.35">
      <c r="A121" s="6">
        <v>156956128612767</v>
      </c>
      <c r="B121" s="7" t="s">
        <v>754</v>
      </c>
      <c r="C121" s="7">
        <v>0</v>
      </c>
      <c r="D121" s="7">
        <v>1</v>
      </c>
      <c r="E121" s="5" t="str">
        <f t="shared" si="1"/>
        <v>Non_Veg</v>
      </c>
    </row>
    <row r="122" spans="1:5" x14ac:dyDescent="0.35">
      <c r="A122" s="4">
        <v>156923241346336</v>
      </c>
      <c r="B122" s="5" t="s">
        <v>743</v>
      </c>
      <c r="C122" s="5">
        <v>0</v>
      </c>
      <c r="D122" s="5">
        <v>1</v>
      </c>
      <c r="E122" s="5" t="str">
        <f t="shared" si="1"/>
        <v>Non_Veg</v>
      </c>
    </row>
    <row r="123" spans="1:5" x14ac:dyDescent="0.35">
      <c r="A123" s="6">
        <v>156923241346336</v>
      </c>
      <c r="B123" s="7" t="s">
        <v>758</v>
      </c>
      <c r="C123" s="7">
        <v>1</v>
      </c>
      <c r="D123" s="7">
        <v>1</v>
      </c>
      <c r="E123" s="5" t="str">
        <f t="shared" si="1"/>
        <v>Veg</v>
      </c>
    </row>
    <row r="124" spans="1:5" x14ac:dyDescent="0.35">
      <c r="A124" s="4">
        <v>156923241346336</v>
      </c>
      <c r="B124" s="5" t="s">
        <v>747</v>
      </c>
      <c r="C124" s="5">
        <v>1</v>
      </c>
      <c r="D124" s="5">
        <v>2</v>
      </c>
      <c r="E124" s="5" t="str">
        <f t="shared" si="1"/>
        <v>Veg</v>
      </c>
    </row>
    <row r="125" spans="1:5" x14ac:dyDescent="0.35">
      <c r="A125" s="6">
        <v>156923241346336</v>
      </c>
      <c r="B125" s="7" t="s">
        <v>744</v>
      </c>
      <c r="C125" s="7">
        <v>1</v>
      </c>
      <c r="D125" s="7">
        <v>1</v>
      </c>
      <c r="E125" s="5" t="str">
        <f t="shared" si="1"/>
        <v>Veg</v>
      </c>
    </row>
    <row r="126" spans="1:5" x14ac:dyDescent="0.35">
      <c r="A126" s="4">
        <v>156864275866899</v>
      </c>
      <c r="B126" s="5" t="s">
        <v>759</v>
      </c>
      <c r="C126" s="5">
        <v>0</v>
      </c>
      <c r="D126" s="5">
        <v>1</v>
      </c>
      <c r="E126" s="5" t="str">
        <f t="shared" si="1"/>
        <v>Non_Veg</v>
      </c>
    </row>
    <row r="127" spans="1:5" x14ac:dyDescent="0.35">
      <c r="A127" s="6">
        <v>156864275866899</v>
      </c>
      <c r="B127" s="7" t="s">
        <v>744</v>
      </c>
      <c r="C127" s="7">
        <v>1</v>
      </c>
      <c r="D127" s="7">
        <v>3</v>
      </c>
      <c r="E127" s="5" t="str">
        <f t="shared" si="1"/>
        <v>Veg</v>
      </c>
    </row>
    <row r="128" spans="1:5" x14ac:dyDescent="0.35">
      <c r="A128" s="4">
        <v>156652104418064</v>
      </c>
      <c r="B128" s="5" t="s">
        <v>760</v>
      </c>
      <c r="C128" s="5">
        <v>1</v>
      </c>
      <c r="D128" s="5">
        <v>1</v>
      </c>
      <c r="E128" s="5" t="str">
        <f t="shared" si="1"/>
        <v>Veg</v>
      </c>
    </row>
    <row r="129" spans="1:5" x14ac:dyDescent="0.35">
      <c r="A129" s="6">
        <v>156652104418064</v>
      </c>
      <c r="B129" s="7" t="s">
        <v>761</v>
      </c>
      <c r="C129" s="7">
        <v>1</v>
      </c>
      <c r="D129" s="7">
        <v>1</v>
      </c>
      <c r="E129" s="5" t="str">
        <f t="shared" si="1"/>
        <v>Veg</v>
      </c>
    </row>
    <row r="130" spans="1:5" x14ac:dyDescent="0.35">
      <c r="A130" s="4">
        <v>156652104418064</v>
      </c>
      <c r="B130" s="5" t="s">
        <v>762</v>
      </c>
      <c r="C130" s="5">
        <v>1</v>
      </c>
      <c r="D130" s="5">
        <v>1</v>
      </c>
      <c r="E130" s="5" t="str">
        <f t="shared" si="1"/>
        <v>Veg</v>
      </c>
    </row>
    <row r="131" spans="1:5" x14ac:dyDescent="0.35">
      <c r="A131" s="6">
        <v>155826395288522</v>
      </c>
      <c r="B131" s="7" t="s">
        <v>763</v>
      </c>
      <c r="C131" s="7">
        <v>0</v>
      </c>
      <c r="D131" s="7">
        <v>1</v>
      </c>
      <c r="E131" s="5" t="str">
        <f t="shared" ref="E131:E171" si="2">IF(C131=0,"Non_Veg","Veg")</f>
        <v>Non_Veg</v>
      </c>
    </row>
    <row r="132" spans="1:5" x14ac:dyDescent="0.35">
      <c r="A132" s="4">
        <v>154933952448406</v>
      </c>
      <c r="B132" s="5" t="s">
        <v>737</v>
      </c>
      <c r="C132" s="5">
        <v>1</v>
      </c>
      <c r="D132" s="5">
        <v>1</v>
      </c>
      <c r="E132" s="5" t="str">
        <f t="shared" si="2"/>
        <v>Veg</v>
      </c>
    </row>
    <row r="133" spans="1:5" x14ac:dyDescent="0.35">
      <c r="A133" s="6">
        <v>154933952448406</v>
      </c>
      <c r="B133" s="7" t="s">
        <v>756</v>
      </c>
      <c r="C133" s="7">
        <v>1</v>
      </c>
      <c r="D133" s="7">
        <v>1</v>
      </c>
      <c r="E133" s="5" t="str">
        <f t="shared" si="2"/>
        <v>Veg</v>
      </c>
    </row>
    <row r="134" spans="1:5" x14ac:dyDescent="0.35">
      <c r="A134" s="4">
        <v>154933952448406</v>
      </c>
      <c r="B134" s="5" t="s">
        <v>764</v>
      </c>
      <c r="C134" s="5">
        <v>0</v>
      </c>
      <c r="D134" s="5">
        <v>1</v>
      </c>
      <c r="E134" s="5" t="str">
        <f t="shared" si="2"/>
        <v>Non_Veg</v>
      </c>
    </row>
    <row r="135" spans="1:5" x14ac:dyDescent="0.35">
      <c r="A135" s="6">
        <v>178713153585</v>
      </c>
      <c r="B135" s="7" t="s">
        <v>748</v>
      </c>
      <c r="C135" s="7">
        <v>1</v>
      </c>
      <c r="D135" s="7">
        <v>1</v>
      </c>
      <c r="E135" s="5" t="str">
        <f t="shared" si="2"/>
        <v>Veg</v>
      </c>
    </row>
    <row r="136" spans="1:5" x14ac:dyDescent="0.35">
      <c r="A136" s="4">
        <v>178713153585</v>
      </c>
      <c r="B136" s="5" t="s">
        <v>765</v>
      </c>
      <c r="C136" s="5">
        <v>0</v>
      </c>
      <c r="D136" s="5">
        <v>1</v>
      </c>
      <c r="E136" s="5" t="str">
        <f t="shared" si="2"/>
        <v>Non_Veg</v>
      </c>
    </row>
    <row r="137" spans="1:5" x14ac:dyDescent="0.35">
      <c r="A137" s="6">
        <v>178539970232</v>
      </c>
      <c r="B137" s="7" t="s">
        <v>766</v>
      </c>
      <c r="C137" s="7">
        <v>1</v>
      </c>
      <c r="D137" s="7">
        <v>1</v>
      </c>
      <c r="E137" s="5" t="str">
        <f t="shared" si="2"/>
        <v>Veg</v>
      </c>
    </row>
    <row r="138" spans="1:5" x14ac:dyDescent="0.35">
      <c r="A138" s="4">
        <v>178180906036</v>
      </c>
      <c r="B138" s="5" t="s">
        <v>763</v>
      </c>
      <c r="C138" s="5">
        <v>0</v>
      </c>
      <c r="D138" s="5">
        <v>1</v>
      </c>
      <c r="E138" s="5" t="str">
        <f t="shared" si="2"/>
        <v>Non_Veg</v>
      </c>
    </row>
    <row r="139" spans="1:5" x14ac:dyDescent="0.35">
      <c r="A139" s="6">
        <v>178180906036</v>
      </c>
      <c r="B139" s="7" t="s">
        <v>767</v>
      </c>
      <c r="C139" s="7">
        <v>0</v>
      </c>
      <c r="D139" s="7">
        <v>1</v>
      </c>
      <c r="E139" s="5" t="str">
        <f t="shared" si="2"/>
        <v>Non_Veg</v>
      </c>
    </row>
    <row r="140" spans="1:5" x14ac:dyDescent="0.35">
      <c r="A140" s="4">
        <v>178090781440</v>
      </c>
      <c r="B140" s="5" t="s">
        <v>753</v>
      </c>
      <c r="C140" s="5">
        <v>0</v>
      </c>
      <c r="D140" s="5">
        <v>1</v>
      </c>
      <c r="E140" s="5" t="str">
        <f t="shared" si="2"/>
        <v>Non_Veg</v>
      </c>
    </row>
    <row r="141" spans="1:5" x14ac:dyDescent="0.35">
      <c r="A141" s="6">
        <v>177591184372</v>
      </c>
      <c r="B141" s="7" t="s">
        <v>742</v>
      </c>
      <c r="C141" s="7">
        <v>0</v>
      </c>
      <c r="D141" s="7">
        <v>1</v>
      </c>
      <c r="E141" s="5" t="str">
        <f t="shared" si="2"/>
        <v>Non_Veg</v>
      </c>
    </row>
    <row r="142" spans="1:5" x14ac:dyDescent="0.35">
      <c r="A142" s="4">
        <v>177445532607</v>
      </c>
      <c r="B142" s="5" t="s">
        <v>768</v>
      </c>
      <c r="C142" s="5">
        <v>0</v>
      </c>
      <c r="D142" s="5">
        <v>1</v>
      </c>
      <c r="E142" s="5" t="str">
        <f t="shared" si="2"/>
        <v>Non_Veg</v>
      </c>
    </row>
    <row r="143" spans="1:5" x14ac:dyDescent="0.35">
      <c r="A143" s="6">
        <v>177445532607</v>
      </c>
      <c r="B143" s="7" t="s">
        <v>769</v>
      </c>
      <c r="C143" s="7">
        <v>1</v>
      </c>
      <c r="D143" s="7">
        <v>1</v>
      </c>
      <c r="E143" s="5" t="str">
        <f t="shared" si="2"/>
        <v>Veg</v>
      </c>
    </row>
    <row r="144" spans="1:5" x14ac:dyDescent="0.35">
      <c r="A144" s="4">
        <v>177445532607</v>
      </c>
      <c r="B144" s="5" t="s">
        <v>770</v>
      </c>
      <c r="C144" s="5">
        <v>0</v>
      </c>
      <c r="D144" s="5">
        <v>1</v>
      </c>
      <c r="E144" s="5" t="str">
        <f t="shared" si="2"/>
        <v>Non_Veg</v>
      </c>
    </row>
    <row r="145" spans="1:5" x14ac:dyDescent="0.35">
      <c r="A145" s="6">
        <v>177445532607</v>
      </c>
      <c r="B145" s="7" t="s">
        <v>771</v>
      </c>
      <c r="C145" s="7">
        <v>0</v>
      </c>
      <c r="D145" s="7">
        <v>1</v>
      </c>
      <c r="E145" s="5" t="str">
        <f t="shared" si="2"/>
        <v>Non_Veg</v>
      </c>
    </row>
    <row r="146" spans="1:5" x14ac:dyDescent="0.35">
      <c r="A146" s="4">
        <v>177265186487</v>
      </c>
      <c r="B146" s="5" t="s">
        <v>772</v>
      </c>
      <c r="C146" s="5">
        <v>0</v>
      </c>
      <c r="D146" s="5">
        <v>1</v>
      </c>
      <c r="E146" s="5" t="str">
        <f t="shared" si="2"/>
        <v>Non_Veg</v>
      </c>
    </row>
    <row r="147" spans="1:5" x14ac:dyDescent="0.35">
      <c r="A147" s="6">
        <v>177265186487</v>
      </c>
      <c r="B147" s="7" t="s">
        <v>773</v>
      </c>
      <c r="C147" s="7">
        <v>0</v>
      </c>
      <c r="D147" s="7">
        <v>1</v>
      </c>
      <c r="E147" s="5" t="str">
        <f t="shared" si="2"/>
        <v>Non_Veg</v>
      </c>
    </row>
    <row r="148" spans="1:5" x14ac:dyDescent="0.35">
      <c r="A148" s="4">
        <v>177265186487</v>
      </c>
      <c r="B148" s="5" t="s">
        <v>774</v>
      </c>
      <c r="C148" s="5">
        <v>0</v>
      </c>
      <c r="D148" s="5">
        <v>1</v>
      </c>
      <c r="E148" s="5" t="str">
        <f t="shared" si="2"/>
        <v>Non_Veg</v>
      </c>
    </row>
    <row r="149" spans="1:5" x14ac:dyDescent="0.35">
      <c r="A149" s="6">
        <v>177265186487</v>
      </c>
      <c r="B149" s="7" t="s">
        <v>768</v>
      </c>
      <c r="C149" s="7">
        <v>0</v>
      </c>
      <c r="D149" s="7">
        <v>1</v>
      </c>
      <c r="E149" s="5" t="str">
        <f t="shared" si="2"/>
        <v>Non_Veg</v>
      </c>
    </row>
    <row r="150" spans="1:5" x14ac:dyDescent="0.35">
      <c r="A150" s="4">
        <v>176793394432</v>
      </c>
      <c r="B150" s="5" t="s">
        <v>775</v>
      </c>
      <c r="C150" s="5">
        <v>1</v>
      </c>
      <c r="D150" s="5">
        <v>1</v>
      </c>
      <c r="E150" s="5" t="str">
        <f t="shared" si="2"/>
        <v>Veg</v>
      </c>
    </row>
    <row r="151" spans="1:5" x14ac:dyDescent="0.35">
      <c r="A151" s="6">
        <v>176793394432</v>
      </c>
      <c r="B151" s="7" t="s">
        <v>776</v>
      </c>
      <c r="C151" s="7">
        <v>1</v>
      </c>
      <c r="D151" s="7">
        <v>1</v>
      </c>
      <c r="E151" s="5" t="str">
        <f t="shared" si="2"/>
        <v>Veg</v>
      </c>
    </row>
    <row r="152" spans="1:5" x14ac:dyDescent="0.35">
      <c r="A152" s="4">
        <v>176745115332</v>
      </c>
      <c r="B152" s="5" t="s">
        <v>693</v>
      </c>
      <c r="C152" s="5">
        <v>1</v>
      </c>
      <c r="D152" s="5">
        <v>1</v>
      </c>
      <c r="E152" s="5" t="str">
        <f t="shared" si="2"/>
        <v>Veg</v>
      </c>
    </row>
    <row r="153" spans="1:5" x14ac:dyDescent="0.35">
      <c r="A153" s="6">
        <v>176716772573</v>
      </c>
      <c r="B153" s="7" t="s">
        <v>777</v>
      </c>
      <c r="C153" s="7">
        <v>0</v>
      </c>
      <c r="D153" s="7">
        <v>1</v>
      </c>
      <c r="E153" s="5" t="str">
        <f t="shared" si="2"/>
        <v>Non_Veg</v>
      </c>
    </row>
    <row r="154" spans="1:5" x14ac:dyDescent="0.35">
      <c r="A154" s="4">
        <v>176451044220</v>
      </c>
      <c r="B154" s="5" t="s">
        <v>778</v>
      </c>
      <c r="C154" s="5">
        <v>0</v>
      </c>
      <c r="D154" s="5">
        <v>1</v>
      </c>
      <c r="E154" s="5" t="str">
        <f t="shared" si="2"/>
        <v>Non_Veg</v>
      </c>
    </row>
    <row r="155" spans="1:5" x14ac:dyDescent="0.35">
      <c r="A155" s="6">
        <v>176221057630</v>
      </c>
      <c r="B155" s="7" t="s">
        <v>779</v>
      </c>
      <c r="C155" s="7">
        <v>0</v>
      </c>
      <c r="D155" s="7">
        <v>1</v>
      </c>
      <c r="E155" s="5" t="str">
        <f t="shared" si="2"/>
        <v>Non_Veg</v>
      </c>
    </row>
    <row r="156" spans="1:5" x14ac:dyDescent="0.35">
      <c r="A156" s="4">
        <v>175968970700</v>
      </c>
      <c r="B156" s="5" t="s">
        <v>780</v>
      </c>
      <c r="C156" s="5">
        <v>1</v>
      </c>
      <c r="D156" s="5">
        <v>2</v>
      </c>
      <c r="E156" s="5" t="str">
        <f t="shared" si="2"/>
        <v>Veg</v>
      </c>
    </row>
    <row r="157" spans="1:5" x14ac:dyDescent="0.35">
      <c r="A157" s="6">
        <v>175192473312</v>
      </c>
      <c r="B157" s="7" t="s">
        <v>781</v>
      </c>
      <c r="C157" s="7">
        <v>0</v>
      </c>
      <c r="D157" s="7">
        <v>1</v>
      </c>
      <c r="E157" s="5" t="str">
        <f t="shared" si="2"/>
        <v>Non_Veg</v>
      </c>
    </row>
    <row r="158" spans="1:5" x14ac:dyDescent="0.35">
      <c r="A158" s="4">
        <v>175192473312</v>
      </c>
      <c r="B158" s="5" t="s">
        <v>782</v>
      </c>
      <c r="C158" s="5">
        <v>0</v>
      </c>
      <c r="D158" s="5">
        <v>1</v>
      </c>
      <c r="E158" s="5" t="str">
        <f t="shared" si="2"/>
        <v>Non_Veg</v>
      </c>
    </row>
    <row r="159" spans="1:5" x14ac:dyDescent="0.35">
      <c r="A159" s="6">
        <v>174983850554</v>
      </c>
      <c r="B159" s="7" t="s">
        <v>783</v>
      </c>
      <c r="C159" s="7">
        <v>0</v>
      </c>
      <c r="D159" s="7">
        <v>1</v>
      </c>
      <c r="E159" s="5" t="str">
        <f t="shared" si="2"/>
        <v>Non_Veg</v>
      </c>
    </row>
    <row r="160" spans="1:5" x14ac:dyDescent="0.35">
      <c r="A160" s="4">
        <v>174983850554</v>
      </c>
      <c r="B160" s="5" t="s">
        <v>784</v>
      </c>
      <c r="C160" s="5">
        <v>0</v>
      </c>
      <c r="D160" s="5">
        <v>1</v>
      </c>
      <c r="E160" s="5" t="str">
        <f t="shared" si="2"/>
        <v>Non_Veg</v>
      </c>
    </row>
    <row r="161" spans="1:5" x14ac:dyDescent="0.35">
      <c r="A161" s="6">
        <v>174983850554</v>
      </c>
      <c r="B161" s="7" t="s">
        <v>785</v>
      </c>
      <c r="C161" s="7">
        <v>0</v>
      </c>
      <c r="D161" s="7">
        <v>1</v>
      </c>
      <c r="E161" s="5" t="str">
        <f t="shared" si="2"/>
        <v>Non_Veg</v>
      </c>
    </row>
    <row r="162" spans="1:5" x14ac:dyDescent="0.35">
      <c r="A162" s="4">
        <v>174647551706</v>
      </c>
      <c r="B162" s="5" t="s">
        <v>786</v>
      </c>
      <c r="C162" s="5">
        <v>1</v>
      </c>
      <c r="D162" s="5">
        <v>1</v>
      </c>
      <c r="E162" s="5" t="str">
        <f t="shared" si="2"/>
        <v>Veg</v>
      </c>
    </row>
    <row r="163" spans="1:5" x14ac:dyDescent="0.35">
      <c r="A163" s="6">
        <v>174647551706</v>
      </c>
      <c r="B163" s="7" t="s">
        <v>787</v>
      </c>
      <c r="C163" s="7">
        <v>1</v>
      </c>
      <c r="D163" s="7">
        <v>1</v>
      </c>
      <c r="E163" s="5" t="str">
        <f t="shared" si="2"/>
        <v>Veg</v>
      </c>
    </row>
    <row r="164" spans="1:5" x14ac:dyDescent="0.35">
      <c r="A164" s="4">
        <v>174644435956</v>
      </c>
      <c r="B164" s="5" t="s">
        <v>777</v>
      </c>
      <c r="C164" s="5">
        <v>0</v>
      </c>
      <c r="D164" s="5">
        <v>1</v>
      </c>
      <c r="E164" s="5" t="str">
        <f t="shared" si="2"/>
        <v>Non_Veg</v>
      </c>
    </row>
    <row r="165" spans="1:5" x14ac:dyDescent="0.35">
      <c r="A165" s="6">
        <v>174559415025</v>
      </c>
      <c r="B165" s="7" t="s">
        <v>788</v>
      </c>
      <c r="C165" s="7">
        <v>0</v>
      </c>
      <c r="D165" s="7">
        <v>1</v>
      </c>
      <c r="E165" s="5" t="str">
        <f t="shared" si="2"/>
        <v>Non_Veg</v>
      </c>
    </row>
    <row r="166" spans="1:5" x14ac:dyDescent="0.35">
      <c r="A166" s="4">
        <v>174376605060</v>
      </c>
      <c r="B166" s="5" t="s">
        <v>789</v>
      </c>
      <c r="C166" s="5">
        <v>0</v>
      </c>
      <c r="D166" s="5">
        <v>1</v>
      </c>
      <c r="E166" s="5" t="str">
        <f t="shared" si="2"/>
        <v>Non_Veg</v>
      </c>
    </row>
    <row r="167" spans="1:5" x14ac:dyDescent="0.35">
      <c r="A167" s="6">
        <v>174376605060</v>
      </c>
      <c r="B167" s="7" t="s">
        <v>790</v>
      </c>
      <c r="C167" s="7">
        <v>0</v>
      </c>
      <c r="D167" s="7">
        <v>1</v>
      </c>
      <c r="E167" s="5" t="str">
        <f t="shared" si="2"/>
        <v>Non_Veg</v>
      </c>
    </row>
    <row r="168" spans="1:5" x14ac:dyDescent="0.35">
      <c r="A168" s="4">
        <v>172557699296</v>
      </c>
      <c r="B168" s="5" t="s">
        <v>791</v>
      </c>
      <c r="C168" s="5">
        <v>1</v>
      </c>
      <c r="D168" s="5">
        <v>1</v>
      </c>
      <c r="E168" s="5" t="str">
        <f t="shared" si="2"/>
        <v>Veg</v>
      </c>
    </row>
    <row r="169" spans="1:5" x14ac:dyDescent="0.35">
      <c r="A169" s="6">
        <v>171953923401</v>
      </c>
      <c r="B169" s="7" t="s">
        <v>792</v>
      </c>
      <c r="C169" s="7">
        <v>0</v>
      </c>
      <c r="D169" s="7">
        <v>1</v>
      </c>
      <c r="E169" s="5" t="str">
        <f t="shared" si="2"/>
        <v>Non_Veg</v>
      </c>
    </row>
    <row r="170" spans="1:5" x14ac:dyDescent="0.35">
      <c r="A170" s="4">
        <v>171953923401</v>
      </c>
      <c r="B170" s="5" t="s">
        <v>793</v>
      </c>
      <c r="C170" s="5">
        <v>0</v>
      </c>
      <c r="D170" s="5">
        <v>1</v>
      </c>
      <c r="E170" s="5" t="str">
        <f t="shared" si="2"/>
        <v>Non_Veg</v>
      </c>
    </row>
    <row r="171" spans="1:5" x14ac:dyDescent="0.35">
      <c r="A171" s="8">
        <v>171863054117</v>
      </c>
      <c r="B171" s="9" t="s">
        <v>791</v>
      </c>
      <c r="C171" s="9">
        <v>1</v>
      </c>
      <c r="D171" s="9">
        <v>1</v>
      </c>
      <c r="E171" s="5" t="str">
        <f t="shared" si="2"/>
        <v>Veg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05E0-B177-400E-B2B5-973A2FD814FF}">
  <dimension ref="A1:B44"/>
  <sheetViews>
    <sheetView workbookViewId="0">
      <selection activeCell="A2" sqref="A2"/>
    </sheetView>
  </sheetViews>
  <sheetFormatPr defaultRowHeight="14.5" x14ac:dyDescent="0.35"/>
  <cols>
    <col min="1" max="1" width="44.26953125" customWidth="1"/>
    <col min="2" max="2" width="43.54296875" customWidth="1"/>
  </cols>
  <sheetData>
    <row r="1" spans="1:2" x14ac:dyDescent="0.35">
      <c r="A1" s="10" t="s">
        <v>10</v>
      </c>
      <c r="B1" s="10" t="s">
        <v>795</v>
      </c>
    </row>
    <row r="2" spans="1:2" x14ac:dyDescent="0.35">
      <c r="A2" t="s">
        <v>36</v>
      </c>
      <c r="B2" t="str">
        <f>IFERROR(LEFT(A2,FIND("-",A2)-1),A2)</f>
        <v xml:space="preserve">Paris Panini </v>
      </c>
    </row>
    <row r="3" spans="1:2" x14ac:dyDescent="0.35">
      <c r="A3" t="s">
        <v>47</v>
      </c>
      <c r="B3" t="str">
        <f t="shared" ref="B3:B44" si="0">IFERROR(LEFT(A3,FIND("-",A3)-1),A3)</f>
        <v>Nandhana Palace</v>
      </c>
    </row>
    <row r="4" spans="1:2" x14ac:dyDescent="0.35">
      <c r="A4" t="s">
        <v>56</v>
      </c>
      <c r="B4" t="str">
        <f t="shared" si="0"/>
        <v xml:space="preserve">The Ganache Factory </v>
      </c>
    </row>
    <row r="5" spans="1:2" x14ac:dyDescent="0.35">
      <c r="A5" t="s">
        <v>66</v>
      </c>
      <c r="B5" t="str">
        <f t="shared" si="0"/>
        <v>Rasayan</v>
      </c>
    </row>
    <row r="6" spans="1:2" x14ac:dyDescent="0.35">
      <c r="A6" t="s">
        <v>77</v>
      </c>
      <c r="B6" t="str">
        <f t="shared" si="0"/>
        <v>Firangi Bake</v>
      </c>
    </row>
    <row r="7" spans="1:2" x14ac:dyDescent="0.35">
      <c r="A7" t="s">
        <v>88</v>
      </c>
      <c r="B7" t="str">
        <f t="shared" si="0"/>
        <v>Daily Sushi</v>
      </c>
    </row>
    <row r="8" spans="1:2" x14ac:dyDescent="0.35">
      <c r="A8" t="s">
        <v>101</v>
      </c>
      <c r="B8" t="str">
        <f t="shared" si="0"/>
        <v>Naalnaad Mane</v>
      </c>
    </row>
    <row r="9" spans="1:2" x14ac:dyDescent="0.35">
      <c r="A9" t="s">
        <v>110</v>
      </c>
      <c r="B9" t="str">
        <f t="shared" si="0"/>
        <v>Theobroma</v>
      </c>
    </row>
    <row r="10" spans="1:2" x14ac:dyDescent="0.35">
      <c r="A10" t="s">
        <v>143</v>
      </c>
      <c r="B10" t="str">
        <f t="shared" si="0"/>
        <v>Love And Crumble</v>
      </c>
    </row>
    <row r="11" spans="1:2" x14ac:dyDescent="0.35">
      <c r="A11" t="s">
        <v>177</v>
      </c>
      <c r="B11" t="str">
        <f t="shared" si="0"/>
        <v>Homely</v>
      </c>
    </row>
    <row r="12" spans="1:2" x14ac:dyDescent="0.35">
      <c r="A12" t="s">
        <v>201</v>
      </c>
      <c r="B12" t="str">
        <f t="shared" si="0"/>
        <v>Chowman</v>
      </c>
    </row>
    <row r="13" spans="1:2" x14ac:dyDescent="0.35">
      <c r="A13" t="s">
        <v>220</v>
      </c>
      <c r="B13" t="str">
        <f t="shared" si="0"/>
        <v xml:space="preserve">Frozen Bottle </v>
      </c>
    </row>
    <row r="14" spans="1:2" x14ac:dyDescent="0.35">
      <c r="A14" t="s">
        <v>236</v>
      </c>
      <c r="B14" t="str">
        <f t="shared" si="0"/>
        <v xml:space="preserve">Leon's </v>
      </c>
    </row>
    <row r="15" spans="1:2" x14ac:dyDescent="0.35">
      <c r="A15" t="s">
        <v>257</v>
      </c>
      <c r="B15" t="str">
        <f t="shared" si="0"/>
        <v>Subway</v>
      </c>
    </row>
    <row r="16" spans="1:2" x14ac:dyDescent="0.35">
      <c r="A16" t="s">
        <v>277</v>
      </c>
      <c r="B16" t="str">
        <f t="shared" si="0"/>
        <v>Bowl Soul</v>
      </c>
    </row>
    <row r="17" spans="1:2" x14ac:dyDescent="0.35">
      <c r="A17" t="s">
        <v>302</v>
      </c>
      <c r="B17" t="str">
        <f t="shared" si="0"/>
        <v>Sundae Everyday Ice Creams</v>
      </c>
    </row>
    <row r="18" spans="1:2" x14ac:dyDescent="0.35">
      <c r="A18" t="s">
        <v>312</v>
      </c>
      <c r="B18" t="str">
        <f t="shared" si="0"/>
        <v>Smoky Docky</v>
      </c>
    </row>
    <row r="19" spans="1:2" x14ac:dyDescent="0.35">
      <c r="A19" t="s">
        <v>353</v>
      </c>
      <c r="B19" t="str">
        <f t="shared" si="0"/>
        <v xml:space="preserve">NOTO </v>
      </c>
    </row>
    <row r="20" spans="1:2" x14ac:dyDescent="0.35">
      <c r="A20" t="s">
        <v>361</v>
      </c>
      <c r="B20" t="str">
        <f t="shared" si="0"/>
        <v>Baba Ganoush</v>
      </c>
    </row>
    <row r="21" spans="1:2" x14ac:dyDescent="0.35">
      <c r="A21" t="s">
        <v>376</v>
      </c>
      <c r="B21" t="str">
        <f t="shared" si="0"/>
        <v>Domino's Pizza</v>
      </c>
    </row>
    <row r="22" spans="1:2" x14ac:dyDescent="0.35">
      <c r="A22" t="s">
        <v>385</v>
      </c>
      <c r="B22" t="str">
        <f t="shared" si="0"/>
        <v>The Belgian Waffle Co.</v>
      </c>
    </row>
    <row r="23" spans="1:2" x14ac:dyDescent="0.35">
      <c r="A23" t="s">
        <v>405</v>
      </c>
      <c r="B23" t="str">
        <f t="shared" si="0"/>
        <v>Paratha Envy</v>
      </c>
    </row>
    <row r="24" spans="1:2" x14ac:dyDescent="0.35">
      <c r="A24" t="s">
        <v>412</v>
      </c>
      <c r="B24" t="str">
        <f t="shared" si="0"/>
        <v>McDonald's</v>
      </c>
    </row>
    <row r="25" spans="1:2" x14ac:dyDescent="0.35">
      <c r="A25" t="s">
        <v>429</v>
      </c>
      <c r="B25" t="str">
        <f t="shared" si="0"/>
        <v>Burger Seigneur</v>
      </c>
    </row>
    <row r="26" spans="1:2" x14ac:dyDescent="0.35">
      <c r="A26" t="s">
        <v>451</v>
      </c>
      <c r="B26" t="str">
        <f t="shared" si="0"/>
        <v>Tharavadu family restaurant</v>
      </c>
    </row>
    <row r="27" spans="1:2" x14ac:dyDescent="0.35">
      <c r="A27" t="s">
        <v>461</v>
      </c>
      <c r="B27" t="str">
        <f t="shared" si="0"/>
        <v>The Best Thickshakes Co</v>
      </c>
    </row>
    <row r="28" spans="1:2" x14ac:dyDescent="0.35">
      <c r="A28" t="s">
        <v>475</v>
      </c>
      <c r="B28" t="str">
        <f t="shared" si="0"/>
        <v>Wow! Momo</v>
      </c>
    </row>
    <row r="29" spans="1:2" x14ac:dyDescent="0.35">
      <c r="A29" t="s">
        <v>498</v>
      </c>
      <c r="B29" t="str">
        <f t="shared" si="0"/>
        <v>Dosa Chicken &amp; Tiffins</v>
      </c>
    </row>
    <row r="30" spans="1:2" x14ac:dyDescent="0.35">
      <c r="A30" t="s">
        <v>509</v>
      </c>
      <c r="B30" t="str">
        <f t="shared" si="0"/>
        <v>The Himalayan Momo Company</v>
      </c>
    </row>
    <row r="31" spans="1:2" x14ac:dyDescent="0.35">
      <c r="A31" t="s">
        <v>533</v>
      </c>
      <c r="B31" t="str">
        <f t="shared" si="0"/>
        <v>Kairali Restaurant</v>
      </c>
    </row>
    <row r="32" spans="1:2" x14ac:dyDescent="0.35">
      <c r="A32" t="s">
        <v>543</v>
      </c>
      <c r="B32" t="str">
        <f t="shared" si="0"/>
        <v>Asha tiffins</v>
      </c>
    </row>
    <row r="33" spans="1:2" x14ac:dyDescent="0.35">
      <c r="A33" t="s">
        <v>551</v>
      </c>
      <c r="B33" t="str">
        <f t="shared" si="0"/>
        <v>Imperio Restaurant</v>
      </c>
    </row>
    <row r="34" spans="1:2" x14ac:dyDescent="0.35">
      <c r="A34" t="s">
        <v>566</v>
      </c>
      <c r="B34" t="str">
        <f t="shared" si="0"/>
        <v>HSR Freshcane Juice</v>
      </c>
    </row>
    <row r="35" spans="1:2" x14ac:dyDescent="0.35">
      <c r="A35" t="s">
        <v>587</v>
      </c>
      <c r="B35" t="str">
        <f t="shared" si="0"/>
        <v>Plan B</v>
      </c>
    </row>
    <row r="36" spans="1:2" x14ac:dyDescent="0.35">
      <c r="A36" t="s">
        <v>598</v>
      </c>
      <c r="B36" t="str">
        <f t="shared" si="0"/>
        <v>Drunken Monkey</v>
      </c>
    </row>
    <row r="37" spans="1:2" x14ac:dyDescent="0.35">
      <c r="A37" t="s">
        <v>616</v>
      </c>
      <c r="B37" t="str">
        <f t="shared" si="0"/>
        <v>Truffles</v>
      </c>
    </row>
    <row r="38" spans="1:2" x14ac:dyDescent="0.35">
      <c r="A38" t="s">
        <v>623</v>
      </c>
      <c r="B38" t="str">
        <f t="shared" si="0"/>
        <v xml:space="preserve">Istah </v>
      </c>
    </row>
    <row r="39" spans="1:2" x14ac:dyDescent="0.35">
      <c r="A39" t="s">
        <v>629</v>
      </c>
      <c r="B39" t="str">
        <f t="shared" si="0"/>
        <v>The Thick Shake Factory</v>
      </c>
    </row>
    <row r="40" spans="1:2" x14ac:dyDescent="0.35">
      <c r="A40" t="s">
        <v>635</v>
      </c>
      <c r="B40" t="str">
        <f t="shared" si="0"/>
        <v>Kerala Panoor Restaurant</v>
      </c>
    </row>
    <row r="41" spans="1:2" x14ac:dyDescent="0.35">
      <c r="A41" t="s">
        <v>642</v>
      </c>
      <c r="B41" t="str">
        <f t="shared" si="0"/>
        <v>FreshMenu</v>
      </c>
    </row>
    <row r="42" spans="1:2" x14ac:dyDescent="0.35">
      <c r="A42" t="s">
        <v>656</v>
      </c>
      <c r="B42" t="str">
        <f t="shared" si="0"/>
        <v>La Pino'z Pizza</v>
      </c>
    </row>
    <row r="43" spans="1:2" x14ac:dyDescent="0.35">
      <c r="A43" t="s">
        <v>666</v>
      </c>
      <c r="B43" t="str">
        <f t="shared" si="0"/>
        <v>Cafe Amudham</v>
      </c>
    </row>
    <row r="44" spans="1:2" x14ac:dyDescent="0.35">
      <c r="A44" t="s">
        <v>673</v>
      </c>
      <c r="B44" t="str">
        <f t="shared" si="0"/>
        <v>Table for Tous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7D2EA-F991-4341-82D3-67DFCA478F57}">
  <dimension ref="A1:B18"/>
  <sheetViews>
    <sheetView workbookViewId="0">
      <selection activeCell="B1" sqref="B1"/>
    </sheetView>
  </sheetViews>
  <sheetFormatPr defaultRowHeight="14.5" x14ac:dyDescent="0.35"/>
  <cols>
    <col min="1" max="1" width="25.453125" customWidth="1"/>
    <col min="2" max="2" width="30.453125" customWidth="1"/>
  </cols>
  <sheetData>
    <row r="1" spans="1:2" x14ac:dyDescent="0.35">
      <c r="A1" s="10" t="s">
        <v>25</v>
      </c>
      <c r="B1" s="10" t="s">
        <v>796</v>
      </c>
    </row>
    <row r="2" spans="1:2" x14ac:dyDescent="0.35">
      <c r="A2" t="s">
        <v>38</v>
      </c>
      <c r="B2" t="s">
        <v>38</v>
      </c>
    </row>
    <row r="3" spans="1:2" x14ac:dyDescent="0.35">
      <c r="A3" t="s">
        <v>60</v>
      </c>
      <c r="B3" t="s">
        <v>60</v>
      </c>
    </row>
    <row r="4" spans="1:2" x14ac:dyDescent="0.35">
      <c r="A4" t="s">
        <v>70</v>
      </c>
      <c r="B4" t="s">
        <v>797</v>
      </c>
    </row>
    <row r="5" spans="1:2" x14ac:dyDescent="0.35">
      <c r="A5" t="s">
        <v>81</v>
      </c>
      <c r="B5" t="s">
        <v>797</v>
      </c>
    </row>
    <row r="6" spans="1:2" x14ac:dyDescent="0.35">
      <c r="A6" t="s">
        <v>105</v>
      </c>
      <c r="B6" t="s">
        <v>105</v>
      </c>
    </row>
    <row r="7" spans="1:2" x14ac:dyDescent="0.35">
      <c r="A7" t="s">
        <v>114</v>
      </c>
      <c r="B7" t="s">
        <v>465</v>
      </c>
    </row>
    <row r="8" spans="1:2" x14ac:dyDescent="0.35">
      <c r="A8" t="s">
        <v>147</v>
      </c>
      <c r="B8" t="s">
        <v>147</v>
      </c>
    </row>
    <row r="9" spans="1:2" x14ac:dyDescent="0.35">
      <c r="A9" t="s">
        <v>205</v>
      </c>
      <c r="B9" t="s">
        <v>205</v>
      </c>
    </row>
    <row r="10" spans="1:2" x14ac:dyDescent="0.35">
      <c r="A10" t="s">
        <v>214</v>
      </c>
      <c r="B10" t="s">
        <v>205</v>
      </c>
    </row>
    <row r="11" spans="1:2" x14ac:dyDescent="0.35">
      <c r="A11" t="s">
        <v>290</v>
      </c>
      <c r="B11" t="s">
        <v>290</v>
      </c>
    </row>
    <row r="12" spans="1:2" x14ac:dyDescent="0.35">
      <c r="A12" t="s">
        <v>306</v>
      </c>
      <c r="B12" t="s">
        <v>306</v>
      </c>
    </row>
    <row r="13" spans="1:2" x14ac:dyDescent="0.35">
      <c r="A13" t="s">
        <v>333</v>
      </c>
      <c r="B13" t="s">
        <v>333</v>
      </c>
    </row>
    <row r="14" spans="1:2" x14ac:dyDescent="0.35">
      <c r="A14" t="s">
        <v>433</v>
      </c>
      <c r="B14" t="s">
        <v>799</v>
      </c>
    </row>
    <row r="15" spans="1:2" x14ac:dyDescent="0.35">
      <c r="A15" t="s">
        <v>455</v>
      </c>
      <c r="B15" t="s">
        <v>455</v>
      </c>
    </row>
    <row r="16" spans="1:2" x14ac:dyDescent="0.35">
      <c r="A16" t="s">
        <v>465</v>
      </c>
      <c r="B16" t="s">
        <v>465</v>
      </c>
    </row>
    <row r="17" spans="1:2" x14ac:dyDescent="0.35">
      <c r="A17" t="s">
        <v>212</v>
      </c>
      <c r="B17" t="s">
        <v>798</v>
      </c>
    </row>
    <row r="18" spans="1:2" x14ac:dyDescent="0.35">
      <c r="A18" t="s">
        <v>611</v>
      </c>
      <c r="B18" t="s">
        <v>611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0008-71FE-4CE3-BC21-39DA3A2CE18B}">
  <dimension ref="A1:J122"/>
  <sheetViews>
    <sheetView topLeftCell="A17" zoomScaleNormal="100" workbookViewId="0">
      <selection activeCell="H17" sqref="H17"/>
    </sheetView>
  </sheetViews>
  <sheetFormatPr defaultRowHeight="14.5" x14ac:dyDescent="0.35"/>
  <cols>
    <col min="1" max="1" width="18.7265625" customWidth="1"/>
    <col min="2" max="2" width="36.54296875" bestFit="1" customWidth="1"/>
    <col min="3" max="3" width="12.453125" bestFit="1" customWidth="1"/>
    <col min="4" max="4" width="15.81640625" bestFit="1" customWidth="1"/>
    <col min="7" max="7" width="23.54296875" customWidth="1"/>
    <col min="8" max="8" width="12.36328125" bestFit="1" customWidth="1"/>
    <col min="9" max="9" width="15.81640625" bestFit="1" customWidth="1"/>
  </cols>
  <sheetData>
    <row r="1" spans="1:10" x14ac:dyDescent="0.35">
      <c r="A1" s="1" t="s">
        <v>807</v>
      </c>
      <c r="B1" t="s">
        <v>811</v>
      </c>
      <c r="G1" s="1" t="s">
        <v>810</v>
      </c>
      <c r="H1" t="s">
        <v>814</v>
      </c>
      <c r="I1" t="s">
        <v>815</v>
      </c>
    </row>
    <row r="2" spans="1:10" x14ac:dyDescent="0.35">
      <c r="B2" s="16">
        <v>25567</v>
      </c>
      <c r="H2" s="16">
        <v>4083.8799999999992</v>
      </c>
      <c r="I2" s="16">
        <v>2626</v>
      </c>
      <c r="J2" s="1">
        <f>GETPIVOTDATA("Sum of Discount",$H$1)+GETPIVOTDATA("Sum of free_delivery_discount_hit",$H$1)</f>
        <v>6709.8799999999992</v>
      </c>
    </row>
    <row r="4" spans="1:10" x14ac:dyDescent="0.35">
      <c r="A4" s="1" t="s">
        <v>808</v>
      </c>
      <c r="B4" t="s">
        <v>812</v>
      </c>
      <c r="G4" s="1" t="s">
        <v>816</v>
      </c>
      <c r="H4" s="17" t="s">
        <v>819</v>
      </c>
      <c r="I4" t="s">
        <v>812</v>
      </c>
    </row>
    <row r="5" spans="1:10" x14ac:dyDescent="0.35">
      <c r="B5" s="16">
        <v>62</v>
      </c>
      <c r="H5" s="18" t="s">
        <v>716</v>
      </c>
      <c r="I5" s="16">
        <v>6</v>
      </c>
    </row>
    <row r="6" spans="1:10" x14ac:dyDescent="0.35">
      <c r="H6" s="18" t="s">
        <v>820</v>
      </c>
      <c r="I6" s="16">
        <v>6</v>
      </c>
    </row>
    <row r="8" spans="1:10" x14ac:dyDescent="0.35">
      <c r="A8" s="1" t="s">
        <v>809</v>
      </c>
      <c r="B8" t="s">
        <v>813</v>
      </c>
    </row>
    <row r="9" spans="1:10" x14ac:dyDescent="0.35">
      <c r="B9" s="16">
        <v>412.37096774193549</v>
      </c>
    </row>
    <row r="10" spans="1:10" x14ac:dyDescent="0.35">
      <c r="G10" s="1" t="s">
        <v>817</v>
      </c>
      <c r="H10" s="17" t="s">
        <v>819</v>
      </c>
      <c r="I10" t="s">
        <v>812</v>
      </c>
    </row>
    <row r="11" spans="1:10" x14ac:dyDescent="0.35">
      <c r="H11" s="18" t="s">
        <v>66</v>
      </c>
      <c r="I11" s="16">
        <v>8</v>
      </c>
    </row>
    <row r="12" spans="1:10" x14ac:dyDescent="0.35">
      <c r="A12" s="1" t="s">
        <v>821</v>
      </c>
      <c r="B12" t="s">
        <v>823</v>
      </c>
      <c r="C12" t="s">
        <v>824</v>
      </c>
      <c r="H12" s="18" t="s">
        <v>257</v>
      </c>
      <c r="I12" s="16">
        <v>8</v>
      </c>
    </row>
    <row r="13" spans="1:10" x14ac:dyDescent="0.35">
      <c r="B13" s="16">
        <v>2124.5806451612902</v>
      </c>
      <c r="C13">
        <f>GETPIVOTDATA("delivery_time_in_seconds",$B$12)/60</f>
        <v>35.409677419354836</v>
      </c>
      <c r="H13" s="18" t="s">
        <v>820</v>
      </c>
      <c r="I13" s="16">
        <v>16</v>
      </c>
    </row>
    <row r="16" spans="1:10" x14ac:dyDescent="0.35">
      <c r="G16" s="1" t="s">
        <v>818</v>
      </c>
      <c r="H16" s="17" t="s">
        <v>819</v>
      </c>
      <c r="I16" t="s">
        <v>812</v>
      </c>
    </row>
    <row r="17" spans="1:9" x14ac:dyDescent="0.35">
      <c r="A17" s="1" t="s">
        <v>822</v>
      </c>
      <c r="B17" t="s">
        <v>825</v>
      </c>
      <c r="H17" s="18" t="s">
        <v>41</v>
      </c>
      <c r="I17" s="16">
        <v>56</v>
      </c>
    </row>
    <row r="18" spans="1:9" x14ac:dyDescent="0.35">
      <c r="B18" s="16">
        <v>3.1451612903225805</v>
      </c>
      <c r="H18" s="18" t="s">
        <v>820</v>
      </c>
      <c r="I18" s="16">
        <v>56</v>
      </c>
    </row>
    <row r="23" spans="1:9" x14ac:dyDescent="0.35">
      <c r="B23" s="1" t="s">
        <v>826</v>
      </c>
    </row>
    <row r="25" spans="1:9" x14ac:dyDescent="0.35">
      <c r="B25" s="17" t="s">
        <v>819</v>
      </c>
      <c r="C25" t="s">
        <v>812</v>
      </c>
    </row>
    <row r="26" spans="1:9" x14ac:dyDescent="0.35">
      <c r="B26" s="18" t="s">
        <v>28</v>
      </c>
      <c r="C26" s="19">
        <v>0.37096774193548387</v>
      </c>
    </row>
    <row r="27" spans="1:9" x14ac:dyDescent="0.35">
      <c r="B27" s="18" t="s">
        <v>827</v>
      </c>
      <c r="C27" s="19">
        <v>0.22580645161290322</v>
      </c>
    </row>
    <row r="28" spans="1:9" x14ac:dyDescent="0.35">
      <c r="B28" s="18" t="s">
        <v>126</v>
      </c>
      <c r="C28" s="19">
        <v>0.11290322580645161</v>
      </c>
    </row>
    <row r="29" spans="1:9" x14ac:dyDescent="0.35">
      <c r="B29" s="18" t="s">
        <v>82</v>
      </c>
      <c r="C29" s="19">
        <v>9.6774193548387094E-2</v>
      </c>
    </row>
    <row r="30" spans="1:9" x14ac:dyDescent="0.35">
      <c r="B30" s="18" t="s">
        <v>163</v>
      </c>
      <c r="C30" s="19">
        <v>4.8387096774193547E-2</v>
      </c>
    </row>
    <row r="31" spans="1:9" x14ac:dyDescent="0.35">
      <c r="B31" s="18" t="s">
        <v>50</v>
      </c>
      <c r="C31" s="19">
        <v>4.8387096774193547E-2</v>
      </c>
    </row>
    <row r="32" spans="1:9" x14ac:dyDescent="0.35">
      <c r="B32" s="18" t="s">
        <v>261</v>
      </c>
      <c r="C32" s="19">
        <v>3.2258064516129031E-2</v>
      </c>
    </row>
    <row r="33" spans="2:3" x14ac:dyDescent="0.35">
      <c r="B33" s="18" t="s">
        <v>71</v>
      </c>
      <c r="C33" s="19">
        <v>3.2258064516129031E-2</v>
      </c>
    </row>
    <row r="34" spans="2:3" x14ac:dyDescent="0.35">
      <c r="B34" s="18" t="s">
        <v>392</v>
      </c>
      <c r="C34" s="19">
        <v>3.2258064516129031E-2</v>
      </c>
    </row>
    <row r="35" spans="2:3" x14ac:dyDescent="0.35">
      <c r="B35" s="18" t="s">
        <v>820</v>
      </c>
      <c r="C35" s="19">
        <v>1</v>
      </c>
    </row>
    <row r="48" spans="2:3" x14ac:dyDescent="0.35">
      <c r="B48" s="1" t="s">
        <v>828</v>
      </c>
    </row>
    <row r="51" spans="2:4" x14ac:dyDescent="0.35">
      <c r="B51" s="17" t="s">
        <v>819</v>
      </c>
      <c r="C51" t="s">
        <v>812</v>
      </c>
      <c r="D51" t="s">
        <v>811</v>
      </c>
    </row>
    <row r="52" spans="2:4" x14ac:dyDescent="0.35">
      <c r="B52" s="18" t="s">
        <v>829</v>
      </c>
      <c r="C52" s="16">
        <v>62</v>
      </c>
      <c r="D52" s="16">
        <v>25567</v>
      </c>
    </row>
    <row r="53" spans="2:4" x14ac:dyDescent="0.35">
      <c r="B53" s="20" t="s">
        <v>830</v>
      </c>
      <c r="C53" s="16">
        <v>29</v>
      </c>
      <c r="D53" s="16">
        <v>11420</v>
      </c>
    </row>
    <row r="54" spans="2:4" x14ac:dyDescent="0.35">
      <c r="B54" s="21" t="s">
        <v>832</v>
      </c>
      <c r="C54" s="16">
        <v>8</v>
      </c>
      <c r="D54" s="16">
        <v>4160</v>
      </c>
    </row>
    <row r="55" spans="2:4" x14ac:dyDescent="0.35">
      <c r="B55" s="21" t="s">
        <v>833</v>
      </c>
      <c r="C55" s="16">
        <v>11</v>
      </c>
      <c r="D55" s="16">
        <v>3580</v>
      </c>
    </row>
    <row r="56" spans="2:4" x14ac:dyDescent="0.35">
      <c r="B56" s="21" t="s">
        <v>834</v>
      </c>
      <c r="C56" s="16">
        <v>10</v>
      </c>
      <c r="D56" s="16">
        <v>3680</v>
      </c>
    </row>
    <row r="57" spans="2:4" x14ac:dyDescent="0.35">
      <c r="B57" s="20" t="s">
        <v>831</v>
      </c>
      <c r="C57" s="16">
        <v>33</v>
      </c>
      <c r="D57" s="16">
        <v>14147</v>
      </c>
    </row>
    <row r="58" spans="2:4" x14ac:dyDescent="0.35">
      <c r="B58" s="21" t="s">
        <v>835</v>
      </c>
      <c r="C58" s="16">
        <v>10</v>
      </c>
      <c r="D58" s="16">
        <v>3778</v>
      </c>
    </row>
    <row r="59" spans="2:4" x14ac:dyDescent="0.35">
      <c r="B59" s="21" t="s">
        <v>836</v>
      </c>
      <c r="C59" s="16">
        <v>23</v>
      </c>
      <c r="D59" s="16">
        <v>10369</v>
      </c>
    </row>
    <row r="60" spans="2:4" x14ac:dyDescent="0.35">
      <c r="B60" s="18" t="s">
        <v>820</v>
      </c>
      <c r="C60" s="16">
        <v>62</v>
      </c>
      <c r="D60" s="16">
        <v>25567</v>
      </c>
    </row>
    <row r="74" spans="2:3" x14ac:dyDescent="0.35">
      <c r="B74" s="1" t="s">
        <v>837</v>
      </c>
    </row>
    <row r="77" spans="2:3" x14ac:dyDescent="0.35">
      <c r="B77" s="17" t="s">
        <v>819</v>
      </c>
      <c r="C77" t="s">
        <v>812</v>
      </c>
    </row>
    <row r="78" spans="2:3" x14ac:dyDescent="0.35">
      <c r="B78" s="18" t="s">
        <v>838</v>
      </c>
      <c r="C78" s="19">
        <v>0.6</v>
      </c>
    </row>
    <row r="79" spans="2:3" x14ac:dyDescent="0.35">
      <c r="B79" s="18" t="s">
        <v>839</v>
      </c>
      <c r="C79" s="19">
        <v>0.4</v>
      </c>
    </row>
    <row r="80" spans="2:3" x14ac:dyDescent="0.35">
      <c r="B80" s="18" t="s">
        <v>820</v>
      </c>
      <c r="C80" s="19">
        <v>1</v>
      </c>
    </row>
    <row r="89" spans="2:5" x14ac:dyDescent="0.35">
      <c r="B89" s="10" t="s">
        <v>840</v>
      </c>
      <c r="C89" s="13"/>
      <c r="E89" s="22" t="s">
        <v>841</v>
      </c>
    </row>
    <row r="93" spans="2:5" x14ac:dyDescent="0.35">
      <c r="B93" t="s">
        <v>842</v>
      </c>
    </row>
    <row r="94" spans="2:5" x14ac:dyDescent="0.35">
      <c r="D94" t="s">
        <v>843</v>
      </c>
    </row>
    <row r="95" spans="2:5" x14ac:dyDescent="0.35">
      <c r="D95" t="s">
        <v>844</v>
      </c>
    </row>
    <row r="98" spans="2:4" x14ac:dyDescent="0.35">
      <c r="B98" s="1" t="s">
        <v>843</v>
      </c>
    </row>
    <row r="100" spans="2:4" x14ac:dyDescent="0.35">
      <c r="C100" s="17" t="s">
        <v>819</v>
      </c>
      <c r="D100" t="s">
        <v>812</v>
      </c>
    </row>
    <row r="101" spans="2:4" x14ac:dyDescent="0.35">
      <c r="C101" s="18" t="s">
        <v>847</v>
      </c>
      <c r="D101" s="19">
        <v>0.24193548387096775</v>
      </c>
    </row>
    <row r="102" spans="2:4" x14ac:dyDescent="0.35">
      <c r="C102" s="18" t="s">
        <v>851</v>
      </c>
      <c r="D102" s="19">
        <v>0.17741935483870969</v>
      </c>
    </row>
    <row r="103" spans="2:4" x14ac:dyDescent="0.35">
      <c r="C103" s="18" t="s">
        <v>846</v>
      </c>
      <c r="D103" s="19">
        <v>0.16129032258064516</v>
      </c>
    </row>
    <row r="104" spans="2:4" x14ac:dyDescent="0.35">
      <c r="C104" s="18" t="s">
        <v>845</v>
      </c>
      <c r="D104" s="19">
        <v>0.14516129032258066</v>
      </c>
    </row>
    <row r="105" spans="2:4" x14ac:dyDescent="0.35">
      <c r="C105" s="18" t="s">
        <v>850</v>
      </c>
      <c r="D105" s="19">
        <v>0.11290322580645161</v>
      </c>
    </row>
    <row r="106" spans="2:4" x14ac:dyDescent="0.35">
      <c r="C106" s="18" t="s">
        <v>849</v>
      </c>
      <c r="D106" s="19">
        <v>8.0645161290322578E-2</v>
      </c>
    </row>
    <row r="107" spans="2:4" x14ac:dyDescent="0.35">
      <c r="C107" s="18" t="s">
        <v>848</v>
      </c>
      <c r="D107" s="19">
        <v>8.0645161290322578E-2</v>
      </c>
    </row>
    <row r="108" spans="2:4" x14ac:dyDescent="0.35">
      <c r="C108" s="18" t="s">
        <v>820</v>
      </c>
      <c r="D108" s="19">
        <v>1</v>
      </c>
    </row>
    <row r="114" spans="2:4" x14ac:dyDescent="0.35">
      <c r="B114" s="1" t="s">
        <v>844</v>
      </c>
    </row>
    <row r="116" spans="2:4" x14ac:dyDescent="0.35">
      <c r="C116" s="17" t="s">
        <v>819</v>
      </c>
      <c r="D116" t="s">
        <v>812</v>
      </c>
    </row>
    <row r="117" spans="2:4" x14ac:dyDescent="0.35">
      <c r="C117" s="18" t="s">
        <v>857</v>
      </c>
      <c r="D117" s="19">
        <v>0.37096774193548387</v>
      </c>
    </row>
    <row r="118" spans="2:4" x14ac:dyDescent="0.35">
      <c r="C118" s="18" t="s">
        <v>856</v>
      </c>
      <c r="D118" s="19">
        <v>0.24193548387096775</v>
      </c>
    </row>
    <row r="119" spans="2:4" x14ac:dyDescent="0.35">
      <c r="C119" s="18" t="s">
        <v>858</v>
      </c>
      <c r="D119" s="19">
        <v>0.20967741935483872</v>
      </c>
    </row>
    <row r="120" spans="2:4" x14ac:dyDescent="0.35">
      <c r="C120" s="18" t="s">
        <v>855</v>
      </c>
      <c r="D120" s="19">
        <v>0.12903225806451613</v>
      </c>
    </row>
    <row r="121" spans="2:4" x14ac:dyDescent="0.35">
      <c r="C121" s="18" t="s">
        <v>853</v>
      </c>
      <c r="D121" s="19">
        <v>4.8387096774193547E-2</v>
      </c>
    </row>
    <row r="122" spans="2:4" x14ac:dyDescent="0.35">
      <c r="C122" s="18" t="s">
        <v>820</v>
      </c>
      <c r="D122" s="19">
        <v>1</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F877-A65F-476F-BEF7-379BC02E2817}">
  <dimension ref="A1:Q5"/>
  <sheetViews>
    <sheetView tabSelected="1" zoomScale="70" zoomScaleNormal="70" workbookViewId="0">
      <selection activeCell="R11" sqref="R11"/>
    </sheetView>
  </sheetViews>
  <sheetFormatPr defaultRowHeight="14.5" x14ac:dyDescent="0.35"/>
  <cols>
    <col min="1" max="1" width="13.7265625" customWidth="1"/>
    <col min="2" max="2" width="14.26953125" customWidth="1"/>
    <col min="4" max="4" width="21.81640625" customWidth="1"/>
    <col min="5" max="5" width="29.54296875" customWidth="1"/>
    <col min="7" max="7" width="26.453125" customWidth="1"/>
    <col min="8" max="8" width="19.54296875" customWidth="1"/>
  </cols>
  <sheetData>
    <row r="1" spans="1:17" ht="14.5" customHeight="1" x14ac:dyDescent="0.35">
      <c r="A1" s="24" t="s">
        <v>862</v>
      </c>
      <c r="B1" s="24"/>
      <c r="C1" s="24"/>
      <c r="D1" s="24"/>
      <c r="E1" s="24"/>
      <c r="F1" s="24"/>
      <c r="G1" s="24"/>
      <c r="H1" s="24"/>
      <c r="I1" s="24"/>
      <c r="J1" s="24"/>
      <c r="K1" s="24"/>
      <c r="L1" s="24"/>
      <c r="M1" s="24"/>
      <c r="N1" s="24"/>
      <c r="O1" s="24"/>
      <c r="P1" s="24"/>
      <c r="Q1" s="24"/>
    </row>
    <row r="2" spans="1:17" x14ac:dyDescent="0.35">
      <c r="A2" s="24"/>
      <c r="B2" s="24"/>
      <c r="C2" s="24"/>
      <c r="D2" s="24"/>
      <c r="E2" s="24"/>
      <c r="F2" s="24"/>
      <c r="G2" s="24"/>
      <c r="H2" s="24"/>
      <c r="I2" s="24"/>
      <c r="J2" s="24"/>
      <c r="K2" s="24"/>
      <c r="L2" s="24"/>
      <c r="M2" s="24"/>
      <c r="N2" s="24"/>
      <c r="O2" s="24"/>
      <c r="P2" s="24"/>
      <c r="Q2" s="24"/>
    </row>
    <row r="3" spans="1:17" x14ac:dyDescent="0.35">
      <c r="A3" s="1" t="s">
        <v>807</v>
      </c>
      <c r="B3" s="25">
        <f>GETPIVOTDATA("net_total",'Data Prep'!$B$1)</f>
        <v>25567</v>
      </c>
      <c r="D3" s="1" t="s">
        <v>810</v>
      </c>
      <c r="E3" s="25">
        <f>'Data Prep'!J2</f>
        <v>6709.8799999999992</v>
      </c>
      <c r="G3" s="1" t="s">
        <v>821</v>
      </c>
      <c r="H3" s="27">
        <f>'Data Prep'!C13</f>
        <v>35.409677419354836</v>
      </c>
    </row>
    <row r="4" spans="1:17" x14ac:dyDescent="0.35">
      <c r="A4" s="1" t="s">
        <v>808</v>
      </c>
      <c r="B4" s="18">
        <f>GETPIVOTDATA("order_id",'Data Prep'!$B$4)</f>
        <v>62</v>
      </c>
      <c r="D4" s="1" t="s">
        <v>816</v>
      </c>
      <c r="E4" t="str">
        <f>'Data Prep'!H5</f>
        <v>Single Lamb Cheese Burger</v>
      </c>
      <c r="G4" s="1" t="s">
        <v>822</v>
      </c>
      <c r="H4" s="28">
        <f>GETPIVOTDATA("restaurant_customer_distance",'Data Prep'!$B$17)</f>
        <v>3.1451612903225805</v>
      </c>
    </row>
    <row r="5" spans="1:17" x14ac:dyDescent="0.35">
      <c r="A5" s="1" t="s">
        <v>809</v>
      </c>
      <c r="B5" s="26">
        <f>GETPIVOTDATA("net_total",'Data Prep'!$B$8)</f>
        <v>412.37096774193549</v>
      </c>
      <c r="D5" s="1" t="s">
        <v>817</v>
      </c>
      <c r="E5" t="str">
        <f>'Data Prep'!H11</f>
        <v>Rasayan</v>
      </c>
      <c r="G5" s="1" t="s">
        <v>818</v>
      </c>
      <c r="H5" s="18" t="str">
        <f>'Data Prep'!H17</f>
        <v>UPICollect</v>
      </c>
    </row>
  </sheetData>
  <sheetProtection sheet="1" objects="1" scenarios="1"/>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899B-0B53-4A08-BD93-2B850EE91A12}">
  <dimension ref="C2:E2"/>
  <sheetViews>
    <sheetView zoomScale="130" zoomScaleNormal="130" workbookViewId="0">
      <selection activeCell="E7" sqref="E7"/>
    </sheetView>
  </sheetViews>
  <sheetFormatPr defaultRowHeight="14.5" x14ac:dyDescent="0.35"/>
  <sheetData>
    <row r="2" spans="3:5" x14ac:dyDescent="0.35">
      <c r="C2" s="29" t="s">
        <v>864</v>
      </c>
      <c r="E2" t="s">
        <v>863</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2D80-0ED6-4534-9AF1-F533B7AEB478}">
  <dimension ref="B3:E5"/>
  <sheetViews>
    <sheetView workbookViewId="0">
      <selection activeCell="E4" sqref="E4"/>
    </sheetView>
  </sheetViews>
  <sheetFormatPr defaultRowHeight="14.5" x14ac:dyDescent="0.35"/>
  <sheetData>
    <row r="3" spans="2:5" x14ac:dyDescent="0.35">
      <c r="B3" s="10" t="s">
        <v>804</v>
      </c>
      <c r="C3" s="13"/>
      <c r="D3" s="13"/>
    </row>
    <row r="4" spans="2:5" x14ac:dyDescent="0.35">
      <c r="E4" s="1" t="s">
        <v>805</v>
      </c>
    </row>
    <row r="5" spans="2:5" x14ac:dyDescent="0.35">
      <c r="E5"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Swiggy Orders</vt:lpstr>
      <vt:lpstr>Swiggy Order Items</vt:lpstr>
      <vt:lpstr>restaurant name correction</vt:lpstr>
      <vt:lpstr>restaurant_area_correction</vt:lpstr>
      <vt:lpstr>Data Prep</vt:lpstr>
      <vt:lpstr>Dashboard</vt:lpstr>
      <vt:lpstr>Protection</vt:lpstr>
      <vt:lpstr>Dynamic Named 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Ashish Thakran</cp:lastModifiedBy>
  <dcterms:created xsi:type="dcterms:W3CDTF">2025-06-08T08:29:01Z</dcterms:created>
  <dcterms:modified xsi:type="dcterms:W3CDTF">2026-04-25T07:23:12Z</dcterms:modified>
</cp:coreProperties>
</file>